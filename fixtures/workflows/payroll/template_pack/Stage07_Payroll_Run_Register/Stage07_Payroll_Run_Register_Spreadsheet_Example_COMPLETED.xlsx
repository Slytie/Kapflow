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60130f03e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c843bf117841e3"/>
    <x:sheet xmlns:r="http://schemas.openxmlformats.org/officeDocument/2006/relationships" name="Register" sheetId="2" r:id="Rf073ff8ded854881"/>
    <x:sheet xmlns:r="http://schemas.openxmlformats.org/officeDocument/2006/relationships" name="Assumptions" sheetId="3" r:id="R729fa470bbe5438b"/>
    <x:sheet xmlns:r="http://schemas.openxmlformats.org/officeDocument/2006/relationships" name="Control_Totals" sheetId="4" r:id="R8ec242d0f4654e50"/>
    <x:sheet xmlns:r="http://schemas.openxmlformats.org/officeDocument/2006/relationships" name="Change_Log" sheetId="5" r:id="Rdf5aa38ff6d0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€#,##0.00"/>
  </x:numFmts>
  <x:fonts count="8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b/>
      <x:sz val="14"/>
    </x:font>
    <x:font>
      <x:b/>
      <x:color rgb="009C0006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7" fillId="0" borderId="0" xfId="0"/>
    <x:xf numFmtId="165" fontId="0" fillId="0" borderId="0" xfId="0"/>
    <x:xf numFmtId="0" fontId="5" fillId="0" borderId="0" xfId="0"/>
    <x:xf numFmtId="164" fontId="7" fillId="0" borderId="0" xfId="0"/>
    <x:xf numFmtId="0" fontId="6" fillId="0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d4a4bb1074dcd" /><Relationship Type="http://schemas.openxmlformats.org/officeDocument/2006/relationships/theme" Target="/xl/theme/theme1.xml" Id="Rc2fc5024db0e44ef" /><Relationship Type="http://schemas.openxmlformats.org/officeDocument/2006/relationships/sharedStrings" Target="/xl/sharedStrings.xml" Id="R91e2ae8f7fce4ff2" /><Relationship Type="http://schemas.openxmlformats.org/officeDocument/2006/relationships/worksheet" Target="/xl/worksheets/sheet1.xml" Id="Rf5c843bf117841e3" /><Relationship Type="http://schemas.openxmlformats.org/officeDocument/2006/relationships/worksheet" Target="/xl/worksheets/sheet2.xml" Id="Rf073ff8ded854881" /><Relationship Type="http://schemas.openxmlformats.org/officeDocument/2006/relationships/worksheet" Target="/xl/worksheets/sheet3.xml" Id="R729fa470bbe5438b" /><Relationship Type="http://schemas.openxmlformats.org/officeDocument/2006/relationships/worksheet" Target="/xl/worksheets/sheet4.xml" Id="R8ec242d0f4654e50" /><Relationship Type="http://schemas.openxmlformats.org/officeDocument/2006/relationships/worksheet" Target="/xl/worksheets/sheet5.xml" Id="Rdf5aa38ff6d0477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Payroll Register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7 - Payroll calculation &amp; register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Payroll register gross-to-net + control totals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2" customWidth="1"/>
    <x:col min="3" max="3" width="10" customWidth="1"/>
    <x:col min="4" max="4" width="20" customWidth="1"/>
    <x:col min="5" max="5" width="10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2" customWidth="1"/>
    <x:col min="12" max="12" width="16" customWidth="1"/>
    <x:col min="13" max="13" width="16" customWidth="1"/>
    <x:col min="14" max="14" width="16" customWidth="1"/>
    <x:col min="15" max="15" width="12" customWidth="1"/>
    <x:col min="16" max="16" width="20" customWidth="1"/>
    <x:col min="17" max="17" width="14" customWidth="1"/>
    <x:col min="18" max="18" width="30" customWidth="1"/>
  </x:cols>
  <x:sheetData>
    <x:row r="1" ht="22" customHeight="1">
      <x:c r="A1" s="5" t="inlineStr">
        <x:is>
          <x:t xml:space="preserve">Payroll_Run_ID</x:t>
        </x:is>
      </x:c>
      <x:c r="B1" s="5" t="inlineStr">
        <x:is>
          <x:t xml:space="preserve">PayPeriodID</x:t>
        </x:is>
      </x:c>
      <x:c r="C1" s="5" t="inlineStr">
        <x:is>
          <x:t xml:space="preserve">Worker_ID</x:t>
        </x:is>
      </x:c>
      <x:c r="D1" s="5" t="inlineStr">
        <x:is>
          <x:t xml:space="preserve">Worker_Name</x:t>
        </x:is>
      </x:c>
      <x:c r="E1" s="5" t="inlineStr">
        <x:is>
          <x:t xml:space="preserve">Pay_Group</x:t>
        </x:is>
      </x:c>
      <x:c r="F1" s="5" t="inlineStr">
        <x:is>
          <x:t xml:space="preserve">Earnings_REG</x:t>
        </x:is>
      </x:c>
      <x:c r="G1" s="5" t="inlineStr">
        <x:is>
          <x:t xml:space="preserve">Earnings_OT</x:t>
        </x:is>
      </x:c>
      <x:c r="H1" s="5" t="inlineStr">
        <x:is>
          <x:t xml:space="preserve">Earnings_PIECE</x:t>
        </x:is>
      </x:c>
      <x:c r="I1" s="5" t="inlineStr">
        <x:is>
          <x:t xml:space="preserve">Earnings_Reimb</x:t>
        </x:is>
      </x:c>
      <x:c r="J1" s="5" t="inlineStr">
        <x:is>
          <x:t xml:space="preserve">Other_Earnings</x:t>
        </x:is>
      </x:c>
      <x:c r="K1" s="5" t="inlineStr">
        <x:is>
          <x:t xml:space="preserve">Gross_Pay</x:t>
        </x:is>
      </x:c>
      <x:c r="L1" s="5" t="inlineStr">
        <x:is>
          <x:t xml:space="preserve">Ded_WITHHOLD_EXAMPLE</x:t>
        </x:is>
      </x:c>
      <x:c r="M1" s="5" t="inlineStr">
        <x:is>
          <x:t xml:space="preserve">Ded_OTHER_EXAMPLE</x:t>
        </x:is>
      </x:c>
      <x:c r="N1" s="5" t="inlineStr">
        <x:is>
          <x:t xml:space="preserve">Deductions_Total</x:t>
        </x:is>
      </x:c>
      <x:c r="O1" s="5" t="inlineStr">
        <x:is>
          <x:t xml:space="preserve">Net_Pay</x:t>
        </x:is>
      </x:c>
      <x:c r="P1" s="5" t="inlineStr">
        <x:is>
          <x:t xml:space="preserve">Payment_Method (masked)</x:t>
        </x:is>
      </x:c>
      <x:c r="Q1" s="5" t="inlineStr">
        <x:is>
          <x:t xml:space="preserve">Exceptions_Flag</x:t>
        </x:is>
      </x:c>
      <x:c r="R1" s="5" t="inlineStr">
        <x:is>
          <x:t xml:space="preserve">Notes</x:t>
        </x:is>
      </x:c>
    </x:row>
    <x:row r="2">
      <x:c r="A2" s="6" t="inlineStr">
        <x:is>
          <x:t xml:space="preserve">PR-2026-W07-001</x:t>
        </x:is>
      </x:c>
      <x:c r="B2" s="6" t="inlineStr">
        <x:is>
          <x:t xml:space="preserve">PP-2026-W07</x:t>
        </x:is>
      </x:c>
      <x:c r="C2" s="6" t="inlineStr">
        <x:is>
          <x:t xml:space="preserve">W-1001</x:t>
        </x:is>
      </x:c>
      <x:c r="D2" s="6" t="inlineStr">
        <x:is>
          <x:t xml:space="preserve">Alex Muller</x:t>
        </x:is>
      </x:c>
      <x:c r="E2" s="6" t="inlineStr">
        <x:is>
          <x:t xml:space="preserve">WEEKLY</x:t>
        </x:is>
      </x:c>
      <x:c r="F2" s="7" t="n">
        <x:v>703</x:v>
      </x:c>
      <x:c r="G2" s="7" t="n">
        <x:v>0</x:v>
      </x:c>
      <x:c r="H2" s="7" t="n">
        <x:v>60</x:v>
      </x:c>
      <x:c r="I2" s="7" t="n">
        <x:v>45</x:v>
      </x:c>
      <x:c r="J2" s="7" t="n">
        <x:v>0</x:v>
      </x:c>
      <x:c r="K2" s="7" t="n">
        <x:v>808</x:v>
      </x:c>
      <x:c r="L2" s="7">
        <x:f>K2*Assumptions!$B$3</x:f>
        <x:v>145.44</x:v>
      </x:c>
      <x:c r="M2" s="7">
        <x:f>K2*Assumptions!$B$4</x:f>
        <x:v>16.16</x:v>
      </x:c>
      <x:c r="N2" s="7">
        <x:f>SUM(L2:M2)</x:f>
        <x:v>161.6</x:v>
      </x:c>
      <x:c r="O2" s="7">
        <x:f>K2-N2</x:f>
        <x:v>646.4</x:v>
      </x:c>
      <x:c r="P2" s="6" t="inlineStr">
        <x:is>
          <x:t xml:space="preserve">IBAN••••3119</x:t>
        </x:is>
      </x:c>
      <x:c r="Q2" s="6" t="inlineStr">
        <x:is>
          <x:t xml:space="preserve">N</x:t>
        </x:is>
      </x:c>
      <x:c r="R2" s="6" t="inlineStr">
        <x:is>
          <x:t xml:space="preserve"/>
        </x:is>
      </x:c>
    </x:row>
    <x:row r="3">
      <x:c r="A3" t="inlineStr">
        <x:is>
          <x:t xml:space="preserve">PR-2026-W07-001</x:t>
        </x:is>
      </x:c>
      <x:c r="B3" t="inlineStr">
        <x:is>
          <x:t xml:space="preserve">PP-2026-W07</x:t>
        </x:is>
      </x:c>
      <x:c r="C3" t="inlineStr">
        <x:is>
          <x:t xml:space="preserve">W-1002</x:t>
        </x:is>
      </x:c>
      <x:c r="D3" t="inlineStr">
        <x:is>
          <x:t xml:space="preserve">Samira Novak</x:t>
        </x:is>
      </x:c>
      <x:c r="E3" t="inlineStr">
        <x:is>
          <x:t xml:space="preserve">WEEKLY</x:t>
        </x:is>
      </x:c>
      <x:c r="F3" s="7" t="n">
        <x:v>770</x:v>
      </x:c>
      <x:c r="G3" s="7" t="n">
        <x:v>57.76</x:v>
      </x:c>
      <x:c r="H3" s="7" t="n">
        <x:v>67.5</x:v>
      </x:c>
      <x:c r="I3" s="7" t="n">
        <x:v>0</x:v>
      </x:c>
      <x:c r="J3" s="7" t="n">
        <x:v>0</x:v>
      </x:c>
      <x:c r="K3" s="7" t="n">
        <x:v>895.26</x:v>
      </x:c>
      <x:c r="L3" s="7">
        <x:f>K3*Assumptions!$B$3</x:f>
        <x:v>161.14679999999998</x:v>
      </x:c>
      <x:c r="M3" s="7">
        <x:f>K3*Assumptions!$B$4</x:f>
        <x:v>17.9052</x:v>
      </x:c>
      <x:c r="N3" s="7">
        <x:f>SUM(L3:M3)</x:f>
        <x:v>179.052</x:v>
      </x:c>
      <x:c r="O3" s="7">
        <x:f>K3-N3</x:f>
        <x:v>716.208</x:v>
      </x:c>
      <x:c r="P3" t="inlineStr">
        <x:is>
          <x:t xml:space="preserve">IBAN••••1883</x:t>
        </x:is>
      </x:c>
      <x:c r="Q3" t="inlineStr">
        <x:is>
          <x:t xml:space="preserve">N</x:t>
        </x:is>
      </x:c>
      <x:c r="R3" t="inlineStr">
        <x:is>
          <x:t xml:space="preserve"/>
        </x:is>
      </x:c>
    </x:row>
    <x:row r="4">
      <x:c r="A4" t="inlineStr">
        <x:is>
          <x:t xml:space="preserve">PR-2026-W07-001</x:t>
        </x:is>
      </x:c>
      <x:c r="B4" t="inlineStr">
        <x:is>
          <x:t xml:space="preserve">PP-2026-W07</x:t>
        </x:is>
      </x:c>
      <x:c r="C4" t="inlineStr">
        <x:is>
          <x:t xml:space="preserve">W-1003</x:t>
        </x:is>
      </x:c>
      <x:c r="D4" t="inlineStr">
        <x:is>
          <x:t xml:space="preserve">Jonas Keller</x:t>
        </x:is>
      </x:c>
      <x:c r="E4" t="inlineStr">
        <x:is>
          <x:t xml:space="preserve">WEEKLY</x:t>
        </x:is>
      </x:c>
      <x:c r="F4" s="7" t="n">
        <x:v>562.5</x:v>
      </x:c>
      <x:c r="G4" s="7" t="n">
        <x:v>0</x:v>
      </x:c>
      <x:c r="H4" s="7" t="n">
        <x:v>47.5</x:v>
      </x:c>
      <x:c r="I4" s="7" t="n">
        <x:v>0</x:v>
      </x:c>
      <x:c r="J4" s="7" t="n">
        <x:v>0</x:v>
      </x:c>
      <x:c r="K4" s="7" t="n">
        <x:v>610</x:v>
      </x:c>
      <x:c r="L4" s="7">
        <x:f>K4*Assumptions!$B$3</x:f>
        <x:v>109.8</x:v>
      </x:c>
      <x:c r="M4" s="7">
        <x:f>K4*Assumptions!$B$4</x:f>
        <x:v>12.200000000000001</x:v>
      </x:c>
      <x:c r="N4" s="7">
        <x:f>SUM(L4:M4)</x:f>
        <x:v>122</x:v>
      </x:c>
      <x:c r="O4" s="7">
        <x:f>K4-N4</x:f>
        <x:v>488</x:v>
      </x:c>
      <x:c r="P4" t="inlineStr">
        <x:is>
          <x:t xml:space="preserve">IBAN••••7591</x:t>
        </x:is>
      </x:c>
      <x:c r="Q4" t="inlineStr">
        <x:is>
          <x:t xml:space="preserve">N</x:t>
        </x:is>
      </x:c>
      <x:c r="R4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customWidth="1"/>
    <x:col min="2" max="2" width="18" customWidth="1"/>
  </x:cols>
  <x:sheetData>
    <x:row r="1">
      <x:c r="A1" s="8" t="inlineStr">
        <x:is>
          <x:t xml:space="preserve">Assumptions (EXAMPLE ONLY)</x:t>
        </x:is>
      </x:c>
    </x:row>
    <x:row r="3">
      <x:c r="A3" t="inlineStr">
        <x:is>
          <x:t xml:space="preserve">Withholding rate (example placeholder)</x:t>
        </x:is>
      </x:c>
      <x:c r="B3" s="9" t="n">
        <x:v>0.18</x:v>
      </x:c>
    </x:row>
    <x:row r="4">
      <x:c r="A4" t="inlineStr">
        <x:is>
          <x:t xml:space="preserve">Other deduction rate (example placeholder)</x:t>
        </x:is>
      </x:c>
      <x:c r="B4" s="9" t="n">
        <x:v>0.02</x:v>
      </x:c>
    </x:row>
    <x:row r="6">
      <x:c r="A6" s="10" t="inlineStr">
        <x:is>
          <x:t xml:space="preserve">IMPORTANT</x:t>
        </x:is>
      </x:c>
    </x:row>
    <x:row r="7">
      <x:c r="A7" t="inlineStr">
        <x:is>
          <x:t xml:space="preserve">These rates are illustrative placeholders and are NOT statutory. Replace with payroll provider outputs or jurisdictional logic.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customWidth="1"/>
    <x:col min="2" max="2" width="18" customWidth="1"/>
  </x:cols>
  <x:sheetData>
    <x:row r="1">
      <x:c r="A1" s="8" t="inlineStr">
        <x:is>
          <x:t xml:space="preserve">Control Totals</x:t>
        </x:is>
      </x:c>
    </x:row>
    <x:row r="3">
      <x:c r="A3" s="11" t="inlineStr">
        <x:is>
          <x:t xml:space="preserve">Total Gross</x:t>
        </x:is>
      </x:c>
      <x:c r="B3" s="7">
        <x:f>SUM(Register!K2:K500)</x:f>
        <x:v>2313.26</x:v>
      </x:c>
    </x:row>
    <x:row r="4">
      <x:c r="A4" s="11" t="inlineStr">
        <x:is>
          <x:t xml:space="preserve">Total Deductions</x:t>
        </x:is>
      </x:c>
      <x:c r="B4" s="7">
        <x:f>SUM(Register!N2:N500)</x:f>
        <x:v>462.65200000000004</x:v>
      </x:c>
    </x:row>
    <x:row r="5">
      <x:c r="A5" s="11" t="inlineStr">
        <x:is>
          <x:t xml:space="preserve">Total Net</x:t>
        </x:is>
      </x:c>
      <x:c r="B5" s="7">
        <x:f>SUM(Register!O2:O500)</x:f>
        <x:v>1850.6080000000002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
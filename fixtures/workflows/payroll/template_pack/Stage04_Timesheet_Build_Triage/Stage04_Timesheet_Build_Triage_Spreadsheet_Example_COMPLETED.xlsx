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5f21f9f2b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9420369a3c45c5"/>
    <x:sheet xmlns:r="http://schemas.openxmlformats.org/officeDocument/2006/relationships" name="Timesheet_Lines" sheetId="2" r:id="R9c0c448a591c4049"/>
    <x:sheet xmlns:r="http://schemas.openxmlformats.org/officeDocument/2006/relationships" name="LOOKUPS" sheetId="3" r:id="R2fadd1d9b8bf4463"/>
    <x:sheet xmlns:r="http://schemas.openxmlformats.org/officeDocument/2006/relationships" name="Exceptions" sheetId="4" r:id="R398edf51c72c402f"/>
    <x:sheet xmlns:r="http://schemas.openxmlformats.org/officeDocument/2006/relationships" name="Timesheet_Summary" sheetId="5" r:id="Rc807f5306faf4df6"/>
    <x:sheet xmlns:r="http://schemas.openxmlformats.org/officeDocument/2006/relationships" name="Checks" sheetId="6" r:id="R11a1969f7f9b472d"/>
    <x:sheet xmlns:r="http://schemas.openxmlformats.org/officeDocument/2006/relationships" name="Change_Log" sheetId="7" r:id="R52666311753d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€#,##0.00"/>
  </x:numFmts>
  <x:fonts count="7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</x:font>
    <x:font>
      <x:b/>
      <x:color rgb="00FFFFFF"/>
    </x:font>
    <x:font>
      <x:b/>
      <x:sz val="14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DCE6F1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3" fillId="2" borderId="1" xfId="0" applyAlignment="1">
      <x:alignment horizontal="left"/>
    </x:xf>
    <x:xf numFmtId="0" fontId="0" fillId="0" borderId="1" xfId="0" applyAlignment="1">
      <x:alignment horizontal="left"/>
    </x:xf>
    <x:xf numFmtId="0" fontId="2" fillId="0" borderId="0" xfId="0"/>
    <x:xf numFmtId="0" fontId="4" fillId="3" borderId="1" xfId="0" applyAlignment="1">
      <x:alignment horizontal="center" vertical="center" wrapText="1"/>
    </x:xf>
    <x:xf numFmtId="0" fontId="6" fillId="0" borderId="0" xfId="0"/>
    <x:xf numFmtId="164" fontId="0" fillId="0" borderId="0" xfId="0"/>
    <x:xf numFmtId="0" fontId="3" fillId="0" borderId="0" xfId="0"/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163da79ca4393" /><Relationship Type="http://schemas.openxmlformats.org/officeDocument/2006/relationships/theme" Target="/xl/theme/theme1.xml" Id="Rbcb0a65dcb794654" /><Relationship Type="http://schemas.openxmlformats.org/officeDocument/2006/relationships/sharedStrings" Target="/xl/sharedStrings.xml" Id="Rf98c8074f35740b5" /><Relationship Type="http://schemas.openxmlformats.org/officeDocument/2006/relationships/worksheet" Target="/xl/worksheets/sheet1.xml" Id="R229420369a3c45c5" /><Relationship Type="http://schemas.openxmlformats.org/officeDocument/2006/relationships/worksheet" Target="/xl/worksheets/sheet2.xml" Id="R9c0c448a591c4049" /><Relationship Type="http://schemas.openxmlformats.org/officeDocument/2006/relationships/worksheet" Target="/xl/worksheets/sheet3.xml" Id="R2fadd1d9b8bf4463" /><Relationship Type="http://schemas.openxmlformats.org/officeDocument/2006/relationships/worksheet" Target="/xl/worksheets/sheet4.xml" Id="R398edf51c72c402f" /><Relationship Type="http://schemas.openxmlformats.org/officeDocument/2006/relationships/worksheet" Target="/xl/worksheets/sheet5.xml" Id="Rc807f5306faf4df6" /><Relationship Type="http://schemas.openxmlformats.org/officeDocument/2006/relationships/worksheet" Target="/xl/worksheets/sheet6.xml" Id="R11a1969f7f9b472d" /><Relationship Type="http://schemas.openxmlformats.org/officeDocument/2006/relationships/worksheet" Target="/xl/worksheets/sheet7.xml" Id="R52666311753d47a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90" customWidth="1"/>
  </x:cols>
  <x:sheetData>
    <x:row r="1">
      <x:c r="A1" s="1" t="inlineStr">
        <x:is>
          <x:t xml:space="preserve">Timesheets &amp; Exceptions Workbook</x:t>
        </x:is>
      </x:c>
    </x:row>
    <x:row r="3">
      <x:c r="A3" s="2" t="inlineStr">
        <x:is>
          <x:t xml:space="preserve">Stage</x:t>
        </x:is>
      </x:c>
      <x:c r="B3" s="3" t="inlineStr">
        <x:is>
          <x:t xml:space="preserve">Stage 4 - Timesheet construction and exception triage</x:t>
        </x:is>
      </x:c>
    </x:row>
    <x:row r="4">
      <x:c r="A4" s="2" t="inlineStr">
        <x:is>
          <x:t xml:space="preserve">Artifact</x:t>
        </x:is>
      </x:c>
      <x:c r="B4" s="3" t="inlineStr">
        <x:is>
          <x:t xml:space="preserve">Timesheet line items + exceptions queue</x:t>
        </x:is>
      </x:c>
    </x:row>
    <x:row r="5">
      <x:c r="A5" s="2" t="inlineStr">
        <x:is>
          <x:t xml:space="preserve">Version</x:t>
        </x:is>
      </x:c>
      <x:c r="B5" s="3" t="inlineStr">
        <x:is>
          <x:t xml:space="preserve">v1.0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EXAMPLE - COMPLETED</x:t>
        </x:is>
      </x:c>
    </x:row>
    <x:row r="8">
      <x:c r="A8" s="4" t="inlineStr">
        <x:is>
          <x:t xml:space="preserve">How to use</x:t>
        </x:is>
      </x:c>
    </x:row>
    <x:row r="9">
      <x:c r="A9" t="inlineStr">
        <x:is>
          <x:t xml:space="preserve">1) Fill in blue-text input cells. 2) Do not overwrite formulas (black text). 3) Use Change_Log for edits.</x:t>
        </x:is>
      </x:c>
    </x:row>
    <x:row r="10">
      <x:c r="A10" t="inlineStr">
        <x:is>
          <x:t xml:space="preserve">4) Attach this workbook to the corresponding stage document and record the Artifact_ID / Version in both.</x:t>
        </x:is>
      </x:c>
    </x:row>
    <x:row r="12">
      <x:c r="A12" s="4" t="inlineStr">
        <x:is>
          <x:t xml:space="preserve">Notes</x:t>
        </x:is>
      </x:c>
    </x:row>
    <x:row r="13">
      <x:c r="A13" t="inlineStr">
        <x:is>
          <x:t xml:space="preserve">This workbook is jurisdiction-parameterized: statutory taxes/withholding fields are placeholders. Replace example values with your configured payroll provider outputs.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2" width="10" customWidth="1"/>
    <x:col min="3" max="3" width="12" customWidth="1"/>
    <x:col min="4" max="4" width="12" customWidth="1"/>
    <x:col min="5" max="5" width="12" customWidth="1"/>
    <x:col min="6" max="6" width="14" customWidth="1"/>
    <x:col min="7" max="7" width="10" customWidth="1"/>
    <x:col min="8" max="8" width="10" customWidth="1"/>
    <x:col min="9" max="9" width="10" customWidth="1"/>
    <x:col min="10" max="10" width="12" customWidth="1"/>
    <x:col min="11" max="11" width="24" customWidth="1"/>
    <x:col min="12" max="12" width="12" customWidth="1"/>
    <x:col min="13" max="13" width="24" customWidth="1"/>
  </x:cols>
  <x:sheetData>
    <x:row r="1" ht="22" customHeight="1">
      <x:c r="A1" s="5" t="inlineStr">
        <x:is>
          <x:t xml:space="preserve">Timesheet_ID</x:t>
        </x:is>
      </x:c>
      <x:c r="B1" s="5" t="inlineStr">
        <x:is>
          <x:t xml:space="preserve">Worker_ID</x:t>
        </x:is>
      </x:c>
      <x:c r="C1" s="5" t="inlineStr">
        <x:is>
          <x:t xml:space="preserve">PayPeriodID</x:t>
        </x:is>
      </x:c>
      <x:c r="D1" s="5" t="inlineStr">
        <x:is>
          <x:t xml:space="preserve">PeriodStart</x:t>
        </x:is>
      </x:c>
      <x:c r="E1" s="5" t="inlineStr">
        <x:is>
          <x:t xml:space="preserve">PeriodEnd</x:t>
        </x:is>
      </x:c>
      <x:c r="F1" s="5" t="inlineStr">
        <x:is>
          <x:t xml:space="preserve">Earnings_Code</x:t>
        </x:is>
      </x:c>
      <x:c r="G1" s="5" t="inlineStr">
        <x:is>
          <x:t xml:space="preserve">Quantity</x:t>
        </x:is>
      </x:c>
      <x:c r="H1" s="5" t="inlineStr">
        <x:is>
          <x:t xml:space="preserve">Unit</x:t>
        </x:is>
      </x:c>
      <x:c r="I1" s="5" t="inlineStr">
        <x:is>
          <x:t xml:space="preserve">Rate</x:t>
        </x:is>
      </x:c>
      <x:c r="J1" s="5" t="inlineStr">
        <x:is>
          <x:t xml:space="preserve">Amount</x:t>
        </x:is>
      </x:c>
      <x:c r="K1" s="5" t="inlineStr">
        <x:is>
          <x:t xml:space="preserve">Evidence_Refs</x:t>
        </x:is>
      </x:c>
      <x:c r="L1" s="5" t="inlineStr">
        <x:is>
          <x:t xml:space="preserve">Line_Status</x:t>
        </x:is>
      </x:c>
      <x:c r="M1" s="5" t="inlineStr">
        <x:is>
          <x:t xml:space="preserve">Notes</x:t>
        </x:is>
      </x:c>
    </x:row>
    <x:row r="2">
      <x:c r="A2" s="6" t="inlineStr">
        <x:is>
          <x:t xml:space="preserve">TS-PP-2026-W07-W-1001</x:t>
        </x:is>
      </x:c>
      <x:c r="B2" s="6" t="inlineStr">
        <x:is>
          <x:t xml:space="preserve">W-1001</x:t>
        </x:is>
      </x:c>
      <x:c r="C2" s="6" t="inlineStr">
        <x:is>
          <x:t xml:space="preserve">PP-2026-W07</x:t>
        </x:is>
      </x:c>
      <x:c r="D2" s="6" t="inlineStr">
        <x:is>
          <x:t xml:space="preserve">2026-02-09</x:t>
        </x:is>
      </x:c>
      <x:c r="E2" s="6" t="inlineStr">
        <x:is>
          <x:t xml:space="preserve">2026-02-15</x:t>
        </x:is>
      </x:c>
      <x:c r="F2" s="6" t="inlineStr">
        <x:is>
          <x:t xml:space="preserve">REG_HRS</x:t>
        </x:is>
      </x:c>
      <x:c r="G2" s="6" t="n">
        <x:v>38</x:v>
      </x:c>
      <x:c r="H2" s="6" t="inlineStr">
        <x:is>
          <x:t xml:space="preserve">hours</x:t>
        </x:is>
      </x:c>
      <x:c r="I2" s="6" t="n">
        <x:v>18.5</x:v>
      </x:c>
      <x:c r="J2" s="7">
        <x:f>IF(OR(G2="",H2=""),"",IF(H2="currency",G2,G2*I2))</x:f>
        <x:v>703</x:v>
      </x:c>
      <x:c r="K2" s="6" t="inlineStr">
        <x:is>
          <x:t xml:space="preserve">EVT-BATCH-001</x:t>
        </x:is>
      </x:c>
      <x:c r="L2" s="6" t="inlineStr">
        <x:is>
          <x:t xml:space="preserve">Submitted</x:t>
        </x:is>
      </x:c>
    </x:row>
    <x:row r="3">
      <x:c r="A3" t="inlineStr">
        <x:is>
          <x:t xml:space="preserve">TS-PP-2026-W07-W-1001</x:t>
        </x:is>
      </x:c>
      <x:c r="B3" t="inlineStr">
        <x:is>
          <x:t xml:space="preserve">W-1001</x:t>
        </x:is>
      </x:c>
      <x:c r="C3" t="inlineStr">
        <x:is>
          <x:t xml:space="preserve">PP-2026-W07</x:t>
        </x:is>
      </x:c>
      <x:c r="D3" t="inlineStr">
        <x:is>
          <x:t xml:space="preserve">2026-02-09</x:t>
        </x:is>
      </x:c>
      <x:c r="E3" t="inlineStr">
        <x:is>
          <x:t xml:space="preserve">2026-02-15</x:t>
        </x:is>
      </x:c>
      <x:c r="F3" t="inlineStr">
        <x:is>
          <x:t xml:space="preserve">STOP_PAY</x:t>
        </x:is>
      </x:c>
      <x:c r="G3" t="n">
        <x:v>120</x:v>
      </x:c>
      <x:c r="H3" t="inlineStr">
        <x:is>
          <x:t xml:space="preserve">units</x:t>
        </x:is>
      </x:c>
      <x:c r="I3" t="n">
        <x:v>0.5</x:v>
      </x:c>
      <x:c r="J3" s="7">
        <x:f>IF(OR(G3="",H3=""),"",IF(H3="currency",G3,G3*I3))</x:f>
        <x:v>60</x:v>
      </x:c>
      <x:c r="K3" t="inlineStr">
        <x:is>
          <x:t xml:space="preserve">EVT-BATCH-ROUTE-A12</x:t>
        </x:is>
      </x:c>
      <x:c r="L3" t="inlineStr">
        <x:is>
          <x:t xml:space="preserve">Submitted</x:t>
        </x:is>
      </x:c>
    </x:row>
    <x:row r="4">
      <x:c r="A4" t="inlineStr">
        <x:is>
          <x:t xml:space="preserve">TS-PP-2026-W07-W-1001</x:t>
        </x:is>
      </x:c>
      <x:c r="B4" t="inlineStr">
        <x:is>
          <x:t xml:space="preserve">W-1001</x:t>
        </x:is>
      </x:c>
      <x:c r="C4" t="inlineStr">
        <x:is>
          <x:t xml:space="preserve">PP-2026-W07</x:t>
        </x:is>
      </x:c>
      <x:c r="D4" t="inlineStr">
        <x:is>
          <x:t xml:space="preserve">2026-02-09</x:t>
        </x:is>
      </x:c>
      <x:c r="E4" t="inlineStr">
        <x:is>
          <x:t xml:space="preserve">2026-02-15</x:t>
        </x:is>
      </x:c>
      <x:c r="F4" t="inlineStr">
        <x:is>
          <x:t xml:space="preserve">MILE_REIMB</x:t>
        </x:is>
      </x:c>
      <x:c r="G4" t="n">
        <x:v>45</x:v>
      </x:c>
      <x:c r="H4" t="inlineStr">
        <x:is>
          <x:t xml:space="preserve">currency</x:t>
        </x:is>
      </x:c>
      <x:c r="I4" t="inlineStr">
        <x:is>
          <x:t xml:space="preserve"/>
        </x:is>
      </x:c>
      <x:c r="J4" s="7">
        <x:f>IF(OR(G4="",H4=""),"",IF(H4="currency",G4,G4*I4))</x:f>
        <x:v>45</x:v>
      </x:c>
      <x:c r="K4" t="inlineStr">
        <x:is>
          <x:t xml:space="preserve">EXP-REQ-003</x:t>
        </x:is>
      </x:c>
      <x:c r="L4" t="inlineStr">
        <x:is>
          <x:t xml:space="preserve">Submitted</x:t>
        </x:is>
      </x:c>
    </x:row>
    <x:row r="5">
      <x:c r="A5" t="inlineStr">
        <x:is>
          <x:t xml:space="preserve">TS-PP-2026-W07-W-1002</x:t>
        </x:is>
      </x:c>
      <x:c r="B5" t="inlineStr">
        <x:is>
          <x:t xml:space="preserve">W-1002</x:t>
        </x:is>
      </x:c>
      <x:c r="C5" t="inlineStr">
        <x:is>
          <x:t xml:space="preserve">PP-2026-W07</x:t>
        </x:is>
      </x:c>
      <x:c r="D5" t="inlineStr">
        <x:is>
          <x:t xml:space="preserve">2026-02-09</x:t>
        </x:is>
      </x:c>
      <x:c r="E5" t="inlineStr">
        <x:is>
          <x:t xml:space="preserve">2026-02-15</x:t>
        </x:is>
      </x:c>
      <x:c r="F5" t="inlineStr">
        <x:is>
          <x:t xml:space="preserve">REG_HRS</x:t>
        </x:is>
      </x:c>
      <x:c r="G5" t="n">
        <x:v>40</x:v>
      </x:c>
      <x:c r="H5" t="inlineStr">
        <x:is>
          <x:t xml:space="preserve">hours</x:t>
        </x:is>
      </x:c>
      <x:c r="I5" t="n">
        <x:v>19.25</x:v>
      </x:c>
      <x:c r="J5" s="7">
        <x:f>IF(OR(G5="",H5=""),"",IF(H5="currency",G5,G5*I5))</x:f>
        <x:v>770</x:v>
      </x:c>
      <x:c r="K5" t="inlineStr">
        <x:is>
          <x:t xml:space="preserve">EVT-BATCH-002</x:t>
        </x:is>
      </x:c>
      <x:c r="L5" t="inlineStr">
        <x:is>
          <x:t xml:space="preserve">Submitted</x:t>
        </x:is>
      </x:c>
    </x:row>
    <x:row r="6">
      <x:c r="A6" t="inlineStr">
        <x:is>
          <x:t xml:space="preserve">TS-PP-2026-W07-W-1002</x:t>
        </x:is>
      </x:c>
      <x:c r="B6" t="inlineStr">
        <x:is>
          <x:t xml:space="preserve">W-1002</x:t>
        </x:is>
      </x:c>
      <x:c r="C6" t="inlineStr">
        <x:is>
          <x:t xml:space="preserve">PP-2026-W07</x:t>
        </x:is>
      </x:c>
      <x:c r="D6" t="inlineStr">
        <x:is>
          <x:t xml:space="preserve">2026-02-09</x:t>
        </x:is>
      </x:c>
      <x:c r="E6" t="inlineStr">
        <x:is>
          <x:t xml:space="preserve">2026-02-15</x:t>
        </x:is>
      </x:c>
      <x:c r="F6" t="inlineStr">
        <x:is>
          <x:t xml:space="preserve">OT_HRS</x:t>
        </x:is>
      </x:c>
      <x:c r="G6" t="n">
        <x:v>2</x:v>
      </x:c>
      <x:c r="H6" t="inlineStr">
        <x:is>
          <x:t xml:space="preserve">hours</x:t>
        </x:is>
      </x:c>
      <x:c r="I6" t="n">
        <x:v>28.88</x:v>
      </x:c>
      <x:c r="J6" s="7">
        <x:f>IF(OR(G6="",H6=""),"",IF(H6="currency",G6,G6*I6))</x:f>
        <x:v>57.76</x:v>
      </x:c>
      <x:c r="K6" t="inlineStr">
        <x:is>
          <x:t xml:space="preserve">EVT-BATCH-002</x:t>
        </x:is>
      </x:c>
      <x:c r="L6" t="inlineStr">
        <x:is>
          <x:t xml:space="preserve">Submitted</x:t>
        </x:is>
      </x:c>
    </x:row>
    <x:row r="7">
      <x:c r="A7" t="inlineStr">
        <x:is>
          <x:t xml:space="preserve">TS-PP-2026-W07-W-1002</x:t>
        </x:is>
      </x:c>
      <x:c r="B7" t="inlineStr">
        <x:is>
          <x:t xml:space="preserve">W-1002</x:t>
        </x:is>
      </x:c>
      <x:c r="C7" t="inlineStr">
        <x:is>
          <x:t xml:space="preserve">PP-2026-W07</x:t>
        </x:is>
      </x:c>
      <x:c r="D7" t="inlineStr">
        <x:is>
          <x:t xml:space="preserve">2026-02-09</x:t>
        </x:is>
      </x:c>
      <x:c r="E7" t="inlineStr">
        <x:is>
          <x:t xml:space="preserve">2026-02-15</x:t>
        </x:is>
      </x:c>
      <x:c r="F7" t="inlineStr">
        <x:is>
          <x:t xml:space="preserve">STOP_PAY</x:t>
        </x:is>
      </x:c>
      <x:c r="G7" t="n">
        <x:v>135</x:v>
      </x:c>
      <x:c r="H7" t="inlineStr">
        <x:is>
          <x:t xml:space="preserve">units</x:t>
        </x:is>
      </x:c>
      <x:c r="I7" t="n">
        <x:v>0.5</x:v>
      </x:c>
      <x:c r="J7" s="7">
        <x:f>IF(OR(G7="",H7=""),"",IF(H7="currency",G7,G7*I7))</x:f>
        <x:v>67.5</x:v>
      </x:c>
      <x:c r="K7" t="inlineStr">
        <x:is>
          <x:t xml:space="preserve">EVT-BATCH-ROUTE-B07</x:t>
        </x:is>
      </x:c>
      <x:c r="L7" t="inlineStr">
        <x:is>
          <x:t xml:space="preserve">Submitted</x:t>
        </x:is>
      </x:c>
    </x:row>
    <x:row r="8">
      <x:c r="A8" t="inlineStr">
        <x:is>
          <x:t xml:space="preserve">TS-PP-2026-W07-W-1003</x:t>
        </x:is>
      </x:c>
      <x:c r="B8" t="inlineStr">
        <x:is>
          <x:t xml:space="preserve">W-1003</x:t>
        </x:is>
      </x:c>
      <x:c r="C8" t="inlineStr">
        <x:is>
          <x:t xml:space="preserve">PP-2026-W07</x:t>
        </x:is>
      </x:c>
      <x:c r="D8" t="inlineStr">
        <x:is>
          <x:t xml:space="preserve">2026-02-09</x:t>
        </x:is>
      </x:c>
      <x:c r="E8" t="inlineStr">
        <x:is>
          <x:t xml:space="preserve">2026-02-15</x:t>
        </x:is>
      </x:c>
      <x:c r="F8" t="inlineStr">
        <x:is>
          <x:t xml:space="preserve">REG_HRS</x:t>
        </x:is>
      </x:c>
      <x:c r="G8" t="n">
        <x:v>30</x:v>
      </x:c>
      <x:c r="H8" t="inlineStr">
        <x:is>
          <x:t xml:space="preserve">hours</x:t>
        </x:is>
      </x:c>
      <x:c r="I8" t="n">
        <x:v>18.75</x:v>
      </x:c>
      <x:c r="J8" s="7">
        <x:f>IF(OR(G8="",H8=""),"",IF(H8="currency",G8,G8*I8))</x:f>
        <x:v>562.5</x:v>
      </x:c>
      <x:c r="K8" t="inlineStr">
        <x:is>
          <x:t xml:space="preserve">EVT-BATCH-003</x:t>
        </x:is>
      </x:c>
      <x:c r="L8" t="inlineStr">
        <x:is>
          <x:t xml:space="preserve">Submitted</x:t>
        </x:is>
      </x:c>
    </x:row>
    <x:row r="9">
      <x:c r="A9" t="inlineStr">
        <x:is>
          <x:t xml:space="preserve">TS-PP-2026-W07-W-1003</x:t>
        </x:is>
      </x:c>
      <x:c r="B9" t="inlineStr">
        <x:is>
          <x:t xml:space="preserve">W-1003</x:t>
        </x:is>
      </x:c>
      <x:c r="C9" t="inlineStr">
        <x:is>
          <x:t xml:space="preserve">PP-2026-W07</x:t>
        </x:is>
      </x:c>
      <x:c r="D9" t="inlineStr">
        <x:is>
          <x:t xml:space="preserve">2026-02-09</x:t>
        </x:is>
      </x:c>
      <x:c r="E9" t="inlineStr">
        <x:is>
          <x:t xml:space="preserve">2026-02-15</x:t>
        </x:is>
      </x:c>
      <x:c r="F9" t="inlineStr">
        <x:is>
          <x:t xml:space="preserve">STOP_PAY</x:t>
        </x:is>
      </x:c>
      <x:c r="G9" t="n">
        <x:v>95</x:v>
      </x:c>
      <x:c r="H9" t="inlineStr">
        <x:is>
          <x:t xml:space="preserve">units</x:t>
        </x:is>
      </x:c>
      <x:c r="I9" t="n">
        <x:v>0.5</x:v>
      </x:c>
      <x:c r="J9" s="7">
        <x:f>IF(OR(G9="",H9=""),"",IF(H9="currency",G9,G9*I9))</x:f>
        <x:v>47.5</x:v>
      </x:c>
      <x:c r="K9" t="inlineStr">
        <x:is>
          <x:t xml:space="preserve">EVT-BATCH-ROUTE-A09</x:t>
        </x:is>
      </x:c>
      <x:c r="L9" t="inlineStr">
        <x:is>
          <x:t xml:space="preserve">Submitted</x:t>
        </x:is>
      </x:c>
    </x:row>
    <x:row r="10">
      <x:c r="J10" s="7">
        <x:f>IF(OR(G10="",H10=""),"",IF(H10="currency",G10,G10*I10))</x:f>
      </x:c>
    </x:row>
    <x:row r="11">
      <x:c r="J11" s="7">
        <x:f>IF(OR(G11="",H11=""),"",IF(H11="currency",G11,G11*I11))</x:f>
      </x:c>
    </x:row>
    <x:row r="12">
      <x:c r="J12" s="7">
        <x:f>IF(OR(G12="",H12=""),"",IF(H12="currency",G12,G12*I12))</x:f>
      </x:c>
    </x:row>
    <x:row r="13">
      <x:c r="J13" s="7">
        <x:f>IF(OR(G13="",H13=""),"",IF(H13="currency",G13,G13*I13))</x:f>
      </x:c>
    </x:row>
    <x:row r="14">
      <x:c r="J14" s="7">
        <x:f>IF(OR(G14="",H14=""),"",IF(H14="currency",G14,G14*I14))</x:f>
      </x:c>
    </x:row>
    <x:row r="15">
      <x:c r="J15" s="7">
        <x:f>IF(OR(G15="",H15=""),"",IF(H15="currency",G15,G15*I15))</x:f>
      </x:c>
    </x:row>
    <x:row r="16">
      <x:c r="J16" s="7">
        <x:f>IF(OR(G16="",H16=""),"",IF(H16="currency",G16,G16*I16))</x:f>
      </x:c>
    </x:row>
    <x:row r="17">
      <x:c r="J17" s="7">
        <x:f>IF(OR(G17="",H17=""),"",IF(H17="currency",G17,G17*I17))</x:f>
      </x:c>
    </x:row>
    <x:row r="18">
      <x:c r="J18" s="7">
        <x:f>IF(OR(G18="",H18=""),"",IF(H18="currency",G18,G18*I18))</x:f>
      </x:c>
    </x:row>
    <x:row r="19">
      <x:c r="J19" s="7">
        <x:f>IF(OR(G19="",H19=""),"",IF(H19="currency",G19,G19*I19))</x:f>
      </x:c>
    </x:row>
    <x:row r="20">
      <x:c r="J20" s="7">
        <x:f>IF(OR(G20="",H20=""),"",IF(H20="currency",G20,G20*I20))</x:f>
      </x:c>
    </x:row>
    <x:row r="21">
      <x:c r="J21" s="7">
        <x:f>IF(OR(G21="",H21=""),"",IF(H21="currency",G21,G21*I21))</x:f>
      </x:c>
    </x:row>
    <x:row r="22">
      <x:c r="J22" s="7">
        <x:f>IF(OR(G22="",H22=""),"",IF(H22="currency",G22,G22*I22))</x:f>
      </x:c>
    </x:row>
    <x:row r="23">
      <x:c r="J23" s="7">
        <x:f>IF(OR(G23="",H23=""),"",IF(H23="currency",G23,G23*I23))</x:f>
      </x:c>
    </x:row>
    <x:row r="24">
      <x:c r="J24" s="7">
        <x:f>IF(OR(G24="",H24=""),"",IF(H24="currency",G24,G24*I24))</x:f>
      </x:c>
    </x:row>
    <x:row r="25">
      <x:c r="J25" s="7">
        <x:f>IF(OR(G25="",H25=""),"",IF(H25="currency",G25,G25*I25))</x:f>
      </x:c>
    </x:row>
    <x:row r="26">
      <x:c r="J26" s="7">
        <x:f>IF(OR(G26="",H26=""),"",IF(H26="currency",G26,G26*I26))</x:f>
      </x:c>
    </x:row>
    <x:row r="27">
      <x:c r="J27" s="7">
        <x:f>IF(OR(G27="",H27=""),"",IF(H27="currency",G27,G27*I27))</x:f>
      </x:c>
    </x:row>
    <x:row r="28">
      <x:c r="J28" s="7">
        <x:f>IF(OR(G28="",H28=""),"",IF(H28="currency",G28,G28*I28))</x:f>
      </x:c>
    </x:row>
    <x:row r="29">
      <x:c r="J29" s="7">
        <x:f>IF(OR(G29="",H29=""),"",IF(H29="currency",G29,G29*I29))</x:f>
      </x:c>
    </x:row>
    <x:row r="30">
      <x:c r="J30" s="7">
        <x:f>IF(OR(G30="",H30=""),"",IF(H30="currency",G30,G30*I30))</x:f>
      </x:c>
    </x:row>
    <x:row r="31">
      <x:c r="J31" s="7">
        <x:f>IF(OR(G31="",H31=""),"",IF(H31="currency",G31,G31*I31))</x:f>
      </x:c>
    </x:row>
    <x:row r="32">
      <x:c r="J32" s="7">
        <x:f>IF(OR(G32="",H32=""),"",IF(H32="currency",G32,G32*I32))</x:f>
      </x:c>
    </x:row>
    <x:row r="33">
      <x:c r="J33" s="7">
        <x:f>IF(OR(G33="",H33=""),"",IF(H33="currency",G33,G33*I33))</x:f>
      </x:c>
    </x:row>
    <x:row r="34">
      <x:c r="J34" s="7">
        <x:f>IF(OR(G34="",H34=""),"",IF(H34="currency",G34,G34*I34))</x:f>
      </x:c>
    </x:row>
    <x:row r="35">
      <x:c r="J35" s="7">
        <x:f>IF(OR(G35="",H35=""),"",IF(H35="currency",G35,G35*I35))</x:f>
      </x:c>
    </x:row>
    <x:row r="36">
      <x:c r="J36" s="7">
        <x:f>IF(OR(G36="",H36=""),"",IF(H36="currency",G36,G36*I36))</x:f>
      </x:c>
    </x:row>
    <x:row r="37">
      <x:c r="J37" s="7">
        <x:f>IF(OR(G37="",H37=""),"",IF(H37="currency",G37,G37*I37))</x:f>
      </x:c>
    </x:row>
    <x:row r="38">
      <x:c r="J38" s="7">
        <x:f>IF(OR(G38="",H38=""),"",IF(H38="currency",G38,G38*I38))</x:f>
      </x:c>
    </x:row>
    <x:row r="39">
      <x:c r="J39" s="7">
        <x:f>IF(OR(G39="",H39=""),"",IF(H39="currency",G39,G39*I39))</x:f>
      </x:c>
    </x:row>
    <x:row r="40">
      <x:c r="J40" s="7">
        <x:f>IF(OR(G40="",H40=""),"",IF(H40="currency",G40,G40*I40))</x:f>
      </x:c>
    </x:row>
    <x:row r="41">
      <x:c r="J41" s="7">
        <x:f>IF(OR(G41="",H41=""),"",IF(H41="currency",G41,G41*I41))</x:f>
      </x:c>
    </x:row>
    <x:row r="42">
      <x:c r="J42" s="7">
        <x:f>IF(OR(G42="",H42=""),"",IF(H42="currency",G42,G42*I42))</x:f>
      </x:c>
    </x:row>
    <x:row r="43">
      <x:c r="J43" s="7">
        <x:f>IF(OR(G43="",H43=""),"",IF(H43="currency",G43,G43*I43))</x:f>
      </x:c>
    </x:row>
    <x:row r="44">
      <x:c r="J44" s="7">
        <x:f>IF(OR(G44="",H44=""),"",IF(H44="currency",G44,G44*I44))</x:f>
      </x:c>
    </x:row>
    <x:row r="45">
      <x:c r="J45" s="7">
        <x:f>IF(OR(G45="",H45=""),"",IF(H45="currency",G45,G45*I45))</x:f>
      </x:c>
    </x:row>
    <x:row r="46">
      <x:c r="J46" s="7">
        <x:f>IF(OR(G46="",H46=""),"",IF(H46="currency",G46,G46*I46))</x:f>
      </x:c>
    </x:row>
    <x:row r="47">
      <x:c r="J47" s="7">
        <x:f>IF(OR(G47="",H47=""),"",IF(H47="currency",G47,G47*I47))</x:f>
      </x:c>
    </x:row>
    <x:row r="48">
      <x:c r="J48" s="7">
        <x:f>IF(OR(G48="",H48=""),"",IF(H48="currency",G48,G48*I48))</x:f>
      </x:c>
    </x:row>
    <x:row r="49">
      <x:c r="J49" s="7">
        <x:f>IF(OR(G49="",H49=""),"",IF(H49="currency",G49,G49*I49))</x:f>
      </x:c>
    </x:row>
    <x:row r="50">
      <x:c r="J50" s="7">
        <x:f>IF(OR(G50="",H50=""),"",IF(H50="currency",G50,G50*I50))</x:f>
      </x:c>
    </x:row>
    <x:row r="51">
      <x:c r="J51" s="7">
        <x:f>IF(OR(G51="",H51=""),"",IF(H51="currency",G51,G51*I51))</x:f>
      </x:c>
    </x:row>
    <x:row r="52">
      <x:c r="J52" s="7">
        <x:f>IF(OR(G52="",H52=""),"",IF(H52="currency",G52,G52*I52))</x:f>
      </x:c>
    </x:row>
    <x:row r="53">
      <x:c r="J53" s="7">
        <x:f>IF(OR(G53="",H53=""),"",IF(H53="currency",G53,G53*I53))</x:f>
      </x:c>
    </x:row>
    <x:row r="54">
      <x:c r="J54" s="7">
        <x:f>IF(OR(G54="",H54=""),"",IF(H54="currency",G54,G54*I54))</x:f>
      </x:c>
    </x:row>
    <x:row r="55">
      <x:c r="J55" s="7">
        <x:f>IF(OR(G55="",H55=""),"",IF(H55="currency",G55,G55*I55))</x:f>
      </x:c>
    </x:row>
    <x:row r="56">
      <x:c r="J56" s="7">
        <x:f>IF(OR(G56="",H56=""),"",IF(H56="currency",G56,G56*I56))</x:f>
      </x:c>
    </x:row>
    <x:row r="57">
      <x:c r="J57" s="7">
        <x:f>IF(OR(G57="",H57=""),"",IF(H57="currency",G57,G57*I57))</x:f>
      </x:c>
    </x:row>
    <x:row r="58">
      <x:c r="J58" s="7">
        <x:f>IF(OR(G58="",H58=""),"",IF(H58="currency",G58,G58*I58))</x:f>
      </x:c>
    </x:row>
    <x:row r="59">
      <x:c r="J59" s="7">
        <x:f>IF(OR(G59="",H59=""),"",IF(H59="currency",G59,G59*I59))</x:f>
      </x:c>
    </x:row>
    <x:row r="60">
      <x:c r="J60" s="7">
        <x:f>IF(OR(G60="",H60=""),"",IF(H60="currency",G60,G60*I60))</x:f>
      </x:c>
    </x:row>
    <x:row r="61">
      <x:c r="J61" s="7">
        <x:f>IF(OR(G61="",H61=""),"",IF(H61="currency",G61,G61*I61))</x:f>
      </x:c>
    </x:row>
    <x:row r="62">
      <x:c r="J62" s="7">
        <x:f>IF(OR(G62="",H62=""),"",IF(H62="currency",G62,G62*I62))</x:f>
      </x:c>
    </x:row>
    <x:row r="63">
      <x:c r="J63" s="7">
        <x:f>IF(OR(G63="",H63=""),"",IF(H63="currency",G63,G63*I63))</x:f>
      </x:c>
    </x:row>
    <x:row r="64">
      <x:c r="J64" s="7">
        <x:f>IF(OR(G64="",H64=""),"",IF(H64="currency",G64,G64*I64))</x:f>
      </x:c>
    </x:row>
    <x:row r="65">
      <x:c r="J65" s="7">
        <x:f>IF(OR(G65="",H65=""),"",IF(H65="currency",G65,G65*I65))</x:f>
      </x:c>
    </x:row>
    <x:row r="66">
      <x:c r="J66" s="7">
        <x:f>IF(OR(G66="",H66=""),"",IF(H66="currency",G66,G66*I66))</x:f>
      </x:c>
    </x:row>
    <x:row r="67">
      <x:c r="J67" s="7">
        <x:f>IF(OR(G67="",H67=""),"",IF(H67="currency",G67,G67*I67))</x:f>
      </x:c>
    </x:row>
    <x:row r="68">
      <x:c r="J68" s="7">
        <x:f>IF(OR(G68="",H68=""),"",IF(H68="currency",G68,G68*I68))</x:f>
      </x:c>
    </x:row>
    <x:row r="69">
      <x:c r="J69" s="7">
        <x:f>IF(OR(G69="",H69=""),"",IF(H69="currency",G69,G69*I69))</x:f>
      </x:c>
    </x:row>
    <x:row r="70">
      <x:c r="J70" s="7">
        <x:f>IF(OR(G70="",H70=""),"",IF(H70="currency",G70,G70*I70))</x:f>
      </x:c>
    </x:row>
    <x:row r="71">
      <x:c r="J71" s="7">
        <x:f>IF(OR(G71="",H71=""),"",IF(H71="currency",G71,G71*I71))</x:f>
      </x:c>
    </x:row>
    <x:row r="72">
      <x:c r="J72" s="7">
        <x:f>IF(OR(G72="",H72=""),"",IF(H72="currency",G72,G72*I72))</x:f>
      </x:c>
    </x:row>
    <x:row r="73">
      <x:c r="J73" s="7">
        <x:f>IF(OR(G73="",H73=""),"",IF(H73="currency",G73,G73*I73))</x:f>
      </x:c>
    </x:row>
    <x:row r="74">
      <x:c r="J74" s="7">
        <x:f>IF(OR(G74="",H74=""),"",IF(H74="currency",G74,G74*I74))</x:f>
      </x:c>
    </x:row>
    <x:row r="75">
      <x:c r="J75" s="7">
        <x:f>IF(OR(G75="",H75=""),"",IF(H75="currency",G75,G75*I75))</x:f>
      </x:c>
    </x:row>
    <x:row r="76">
      <x:c r="J76" s="7">
        <x:f>IF(OR(G76="",H76=""),"",IF(H76="currency",G76,G76*I76))</x:f>
      </x:c>
    </x:row>
    <x:row r="77">
      <x:c r="J77" s="7">
        <x:f>IF(OR(G77="",H77=""),"",IF(H77="currency",G77,G77*I77))</x:f>
      </x:c>
    </x:row>
    <x:row r="78">
      <x:c r="J78" s="7">
        <x:f>IF(OR(G78="",H78=""),"",IF(H78="currency",G78,G78*I78))</x:f>
      </x:c>
    </x:row>
    <x:row r="79">
      <x:c r="J79" s="7">
        <x:f>IF(OR(G79="",H79=""),"",IF(H79="currency",G79,G79*I79))</x:f>
      </x:c>
    </x:row>
    <x:row r="80">
      <x:c r="J80" s="7">
        <x:f>IF(OR(G80="",H80=""),"",IF(H80="currency",G80,G80*I80))</x:f>
      </x:c>
    </x:row>
    <x:row r="81">
      <x:c r="J81" s="7">
        <x:f>IF(OR(G81="",H81=""),"",IF(H81="currency",G81,G81*I81))</x:f>
      </x:c>
    </x:row>
    <x:row r="82">
      <x:c r="J82" s="7">
        <x:f>IF(OR(G82="",H82=""),"",IF(H82="currency",G82,G82*I82))</x:f>
      </x:c>
    </x:row>
    <x:row r="83">
      <x:c r="J83" s="7">
        <x:f>IF(OR(G83="",H83=""),"",IF(H83="currency",G83,G83*I83))</x:f>
      </x:c>
    </x:row>
    <x:row r="84">
      <x:c r="J84" s="7">
        <x:f>IF(OR(G84="",H84=""),"",IF(H84="currency",G84,G84*I84))</x:f>
      </x:c>
    </x:row>
    <x:row r="85">
      <x:c r="J85" s="7">
        <x:f>IF(OR(G85="",H85=""),"",IF(H85="currency",G85,G85*I85))</x:f>
      </x:c>
    </x:row>
    <x:row r="86">
      <x:c r="J86" s="7">
        <x:f>IF(OR(G86="",H86=""),"",IF(H86="currency",G86,G86*I86))</x:f>
      </x:c>
    </x:row>
    <x:row r="87">
      <x:c r="J87" s="7">
        <x:f>IF(OR(G87="",H87=""),"",IF(H87="currency",G87,G87*I87))</x:f>
      </x:c>
    </x:row>
    <x:row r="88">
      <x:c r="J88" s="7">
        <x:f>IF(OR(G88="",H88=""),"",IF(H88="currency",G88,G88*I88))</x:f>
      </x:c>
    </x:row>
    <x:row r="89">
      <x:c r="J89" s="7">
        <x:f>IF(OR(G89="",H89=""),"",IF(H89="currency",G89,G89*I89))</x:f>
      </x:c>
    </x:row>
    <x:row r="90">
      <x:c r="J90" s="7">
        <x:f>IF(OR(G90="",H90=""),"",IF(H90="currency",G90,G90*I90))</x:f>
      </x:c>
    </x:row>
    <x:row r="91">
      <x:c r="J91" s="7">
        <x:f>IF(OR(G91="",H91=""),"",IF(H91="currency",G91,G91*I91))</x:f>
      </x:c>
    </x:row>
    <x:row r="92">
      <x:c r="J92" s="7">
        <x:f>IF(OR(G92="",H92=""),"",IF(H92="currency",G92,G92*I92))</x:f>
      </x:c>
    </x:row>
    <x:row r="93">
      <x:c r="J93" s="7">
        <x:f>IF(OR(G93="",H93=""),"",IF(H93="currency",G93,G93*I93))</x:f>
      </x:c>
    </x:row>
    <x:row r="94">
      <x:c r="J94" s="7">
        <x:f>IF(OR(G94="",H94=""),"",IF(H94="currency",G94,G94*I94))</x:f>
      </x:c>
    </x:row>
    <x:row r="95">
      <x:c r="J95" s="7">
        <x:f>IF(OR(G95="",H95=""),"",IF(H95="currency",G95,G95*I95))</x:f>
      </x:c>
    </x:row>
    <x:row r="96">
      <x:c r="J96" s="7">
        <x:f>IF(OR(G96="",H96=""),"",IF(H96="currency",G96,G96*I96))</x:f>
      </x:c>
    </x:row>
    <x:row r="97">
      <x:c r="J97" s="7">
        <x:f>IF(OR(G97="",H97=""),"",IF(H97="currency",G97,G97*I97))</x:f>
      </x:c>
    </x:row>
    <x:row r="98">
      <x:c r="J98" s="7">
        <x:f>IF(OR(G98="",H98=""),"",IF(H98="currency",G98,G98*I98))</x:f>
      </x:c>
    </x:row>
    <x:row r="99">
      <x:c r="J99" s="7">
        <x:f>IF(OR(G99="",H99=""),"",IF(H99="currency",G99,G99*I99))</x:f>
      </x:c>
    </x:row>
    <x:row r="100">
      <x:c r="J100" s="7">
        <x:f>IF(OR(G100="",H100=""),"",IF(H100="currency",G100,G100*I100))</x:f>
      </x:c>
    </x:row>
    <x:row r="101">
      <x:c r="J101" s="7">
        <x:f>IF(OR(G101="",H101=""),"",IF(H101="currency",G101,G101*I101))</x:f>
      </x:c>
    </x:row>
    <x:row r="102">
      <x:c r="J102" s="7">
        <x:f>IF(OR(G102="",H102=""),"",IF(H102="currency",G102,G102*I102))</x:f>
      </x:c>
    </x:row>
    <x:row r="103">
      <x:c r="J103" s="7">
        <x:f>IF(OR(G103="",H103=""),"",IF(H103="currency",G103,G103*I103))</x:f>
      </x:c>
    </x:row>
    <x:row r="104">
      <x:c r="J104" s="7">
        <x:f>IF(OR(G104="",H104=""),"",IF(H104="currency",G104,G104*I104))</x:f>
      </x:c>
    </x:row>
    <x:row r="105">
      <x:c r="J105" s="7">
        <x:f>IF(OR(G105="",H105=""),"",IF(H105="currency",G105,G105*I105))</x:f>
      </x:c>
    </x:row>
    <x:row r="106">
      <x:c r="J106" s="7">
        <x:f>IF(OR(G106="",H106=""),"",IF(H106="currency",G106,G106*I106))</x:f>
      </x:c>
    </x:row>
    <x:row r="107">
      <x:c r="J107" s="7">
        <x:f>IF(OR(G107="",H107=""),"",IF(H107="currency",G107,G107*I107))</x:f>
      </x:c>
    </x:row>
    <x:row r="108">
      <x:c r="J108" s="7">
        <x:f>IF(OR(G108="",H108=""),"",IF(H108="currency",G108,G108*I108))</x:f>
      </x:c>
    </x:row>
    <x:row r="109">
      <x:c r="J109" s="7">
        <x:f>IF(OR(G109="",H109=""),"",IF(H109="currency",G109,G109*I109))</x:f>
      </x:c>
    </x:row>
    <x:row r="110">
      <x:c r="J110" s="7">
        <x:f>IF(OR(G110="",H110=""),"",IF(H110="currency",G110,G110*I110))</x:f>
      </x:c>
    </x:row>
    <x:row r="111">
      <x:c r="J111" s="7">
        <x:f>IF(OR(G111="",H111=""),"",IF(H111="currency",G111,G111*I111))</x:f>
      </x:c>
    </x:row>
    <x:row r="112">
      <x:c r="J112" s="7">
        <x:f>IF(OR(G112="",H112=""),"",IF(H112="currency",G112,G112*I112))</x:f>
      </x:c>
    </x:row>
    <x:row r="113">
      <x:c r="J113" s="7">
        <x:f>IF(OR(G113="",H113=""),"",IF(H113="currency",G113,G113*I113))</x:f>
      </x:c>
    </x:row>
    <x:row r="114">
      <x:c r="J114" s="7">
        <x:f>IF(OR(G114="",H114=""),"",IF(H114="currency",G114,G114*I114))</x:f>
      </x:c>
    </x:row>
    <x:row r="115">
      <x:c r="J115" s="7">
        <x:f>IF(OR(G115="",H115=""),"",IF(H115="currency",G115,G115*I115))</x:f>
      </x:c>
    </x:row>
    <x:row r="116">
      <x:c r="J116" s="7">
        <x:f>IF(OR(G116="",H116=""),"",IF(H116="currency",G116,G116*I116))</x:f>
      </x:c>
    </x:row>
    <x:row r="117">
      <x:c r="J117" s="7">
        <x:f>IF(OR(G117="",H117=""),"",IF(H117="currency",G117,G117*I117))</x:f>
      </x:c>
    </x:row>
    <x:row r="118">
      <x:c r="J118" s="7">
        <x:f>IF(OR(G118="",H118=""),"",IF(H118="currency",G118,G118*I118))</x:f>
      </x:c>
    </x:row>
    <x:row r="119">
      <x:c r="J119" s="7">
        <x:f>IF(OR(G119="",H119=""),"",IF(H119="currency",G119,G119*I119))</x:f>
      </x:c>
    </x:row>
    <x:row r="120">
      <x:c r="J120" s="7">
        <x:f>IF(OR(G120="",H120=""),"",IF(H120="currency",G120,G120*I120))</x:f>
      </x:c>
    </x:row>
    <x:row r="121">
      <x:c r="J121" s="7">
        <x:f>IF(OR(G121="",H121=""),"",IF(H121="currency",G121,G121*I121))</x:f>
      </x:c>
    </x:row>
    <x:row r="122">
      <x:c r="J122" s="7">
        <x:f>IF(OR(G122="",H122=""),"",IF(H122="currency",G122,G122*I122))</x:f>
      </x:c>
    </x:row>
    <x:row r="123">
      <x:c r="J123" s="7">
        <x:f>IF(OR(G123="",H123=""),"",IF(H123="currency",G123,G123*I123))</x:f>
      </x:c>
    </x:row>
    <x:row r="124">
      <x:c r="J124" s="7">
        <x:f>IF(OR(G124="",H124=""),"",IF(H124="currency",G124,G124*I124))</x:f>
      </x:c>
    </x:row>
    <x:row r="125">
      <x:c r="J125" s="7">
        <x:f>IF(OR(G125="",H125=""),"",IF(H125="currency",G125,G125*I125))</x:f>
      </x:c>
    </x:row>
    <x:row r="126">
      <x:c r="J126" s="7">
        <x:f>IF(OR(G126="",H126=""),"",IF(H126="currency",G126,G126*I126))</x:f>
      </x:c>
    </x:row>
    <x:row r="127">
      <x:c r="J127" s="7">
        <x:f>IF(OR(G127="",H127=""),"",IF(H127="currency",G127,G127*I127))</x:f>
      </x:c>
    </x:row>
    <x:row r="128">
      <x:c r="J128" s="7">
        <x:f>IF(OR(G128="",H128=""),"",IF(H128="currency",G128,G128*I128))</x:f>
      </x:c>
    </x:row>
    <x:row r="129">
      <x:c r="J129" s="7">
        <x:f>IF(OR(G129="",H129=""),"",IF(H129="currency",G129,G129*I129))</x:f>
      </x:c>
    </x:row>
    <x:row r="130">
      <x:c r="J130" s="7">
        <x:f>IF(OR(G130="",H130=""),"",IF(H130="currency",G130,G130*I130))</x:f>
      </x:c>
    </x:row>
    <x:row r="131">
      <x:c r="J131" s="7">
        <x:f>IF(OR(G131="",H131=""),"",IF(H131="currency",G131,G131*I131))</x:f>
      </x:c>
    </x:row>
    <x:row r="132">
      <x:c r="J132" s="7">
        <x:f>IF(OR(G132="",H132=""),"",IF(H132="currency",G132,G132*I132))</x:f>
      </x:c>
    </x:row>
    <x:row r="133">
      <x:c r="J133" s="7">
        <x:f>IF(OR(G133="",H133=""),"",IF(H133="currency",G133,G133*I133))</x:f>
      </x:c>
    </x:row>
    <x:row r="134">
      <x:c r="J134" s="7">
        <x:f>IF(OR(G134="",H134=""),"",IF(H134="currency",G134,G134*I134))</x:f>
      </x:c>
    </x:row>
    <x:row r="135">
      <x:c r="J135" s="7">
        <x:f>IF(OR(G135="",H135=""),"",IF(H135="currency",G135,G135*I135))</x:f>
      </x:c>
    </x:row>
    <x:row r="136">
      <x:c r="J136" s="7">
        <x:f>IF(OR(G136="",H136=""),"",IF(H136="currency",G136,G136*I136))</x:f>
      </x:c>
    </x:row>
    <x:row r="137">
      <x:c r="J137" s="7">
        <x:f>IF(OR(G137="",H137=""),"",IF(H137="currency",G137,G137*I137))</x:f>
      </x:c>
    </x:row>
    <x:row r="138">
      <x:c r="J138" s="7">
        <x:f>IF(OR(G138="",H138=""),"",IF(H138="currency",G138,G138*I138))</x:f>
      </x:c>
    </x:row>
    <x:row r="139">
      <x:c r="J139" s="7">
        <x:f>IF(OR(G139="",H139=""),"",IF(H139="currency",G139,G139*I139))</x:f>
      </x:c>
    </x:row>
    <x:row r="140">
      <x:c r="J140" s="7">
        <x:f>IF(OR(G140="",H140=""),"",IF(H140="currency",G140,G140*I140))</x:f>
      </x:c>
    </x:row>
    <x:row r="141">
      <x:c r="J141" s="7">
        <x:f>IF(OR(G141="",H141=""),"",IF(H141="currency",G141,G141*I141))</x:f>
      </x:c>
    </x:row>
    <x:row r="142">
      <x:c r="J142" s="7">
        <x:f>IF(OR(G142="",H142=""),"",IF(H142="currency",G142,G142*I142))</x:f>
      </x:c>
    </x:row>
    <x:row r="143">
      <x:c r="J143" s="7">
        <x:f>IF(OR(G143="",H143=""),"",IF(H143="currency",G143,G143*I143))</x:f>
      </x:c>
    </x:row>
    <x:row r="144">
      <x:c r="J144" s="7">
        <x:f>IF(OR(G144="",H144=""),"",IF(H144="currency",G144,G144*I144))</x:f>
      </x:c>
    </x:row>
    <x:row r="145">
      <x:c r="J145" s="7">
        <x:f>IF(OR(G145="",H145=""),"",IF(H145="currency",G145,G145*I145))</x:f>
      </x:c>
    </x:row>
    <x:row r="146">
      <x:c r="J146" s="7">
        <x:f>IF(OR(G146="",H146=""),"",IF(H146="currency",G146,G146*I146))</x:f>
      </x:c>
    </x:row>
    <x:row r="147">
      <x:c r="J147" s="7">
        <x:f>IF(OR(G147="",H147=""),"",IF(H147="currency",G147,G147*I147))</x:f>
      </x:c>
    </x:row>
    <x:row r="148">
      <x:c r="J148" s="7">
        <x:f>IF(OR(G148="",H148=""),"",IF(H148="currency",G148,G148*I148))</x:f>
      </x:c>
    </x:row>
    <x:row r="149">
      <x:c r="J149" s="7">
        <x:f>IF(OR(G149="",H149=""),"",IF(H149="currency",G149,G149*I149))</x:f>
      </x:c>
    </x:row>
    <x:row r="150">
      <x:c r="J150" s="7">
        <x:f>IF(OR(G150="",H150=""),"",IF(H150="currency",G150,G150*I150))</x:f>
      </x:c>
    </x:row>
    <x:row r="151">
      <x:c r="J151" s="7">
        <x:f>IF(OR(G151="",H151=""),"",IF(H151="currency",G151,G151*I151))</x:f>
      </x:c>
    </x:row>
    <x:row r="152">
      <x:c r="J152" s="7">
        <x:f>IF(OR(G152="",H152=""),"",IF(H152="currency",G152,G152*I152))</x:f>
      </x:c>
    </x:row>
    <x:row r="153">
      <x:c r="J153" s="7">
        <x:f>IF(OR(G153="",H153=""),"",IF(H153="currency",G153,G153*I153))</x:f>
      </x:c>
    </x:row>
    <x:row r="154">
      <x:c r="J154" s="7">
        <x:f>IF(OR(G154="",H154=""),"",IF(H154="currency",G154,G154*I154))</x:f>
      </x:c>
    </x:row>
    <x:row r="155">
      <x:c r="J155" s="7">
        <x:f>IF(OR(G155="",H155=""),"",IF(H155="currency",G155,G155*I155))</x:f>
      </x:c>
    </x:row>
    <x:row r="156">
      <x:c r="J156" s="7">
        <x:f>IF(OR(G156="",H156=""),"",IF(H156="currency",G156,G156*I156))</x:f>
      </x:c>
    </x:row>
    <x:row r="157">
      <x:c r="J157" s="7">
        <x:f>IF(OR(G157="",H157=""),"",IF(H157="currency",G157,G157*I157))</x:f>
      </x:c>
    </x:row>
    <x:row r="158">
      <x:c r="J158" s="7">
        <x:f>IF(OR(G158="",H158=""),"",IF(H158="currency",G158,G158*I158))</x:f>
      </x:c>
    </x:row>
    <x:row r="159">
      <x:c r="J159" s="7">
        <x:f>IF(OR(G159="",H159=""),"",IF(H159="currency",G159,G159*I159))</x:f>
      </x:c>
    </x:row>
    <x:row r="160">
      <x:c r="J160" s="7">
        <x:f>IF(OR(G160="",H160=""),"",IF(H160="currency",G160,G160*I160))</x:f>
      </x:c>
    </x:row>
    <x:row r="161">
      <x:c r="J161" s="7">
        <x:f>IF(OR(G161="",H161=""),"",IF(H161="currency",G161,G161*I161))</x:f>
      </x:c>
    </x:row>
    <x:row r="162">
      <x:c r="J162" s="7">
        <x:f>IF(OR(G162="",H162=""),"",IF(H162="currency",G162,G162*I162))</x:f>
      </x:c>
    </x:row>
    <x:row r="163">
      <x:c r="J163" s="7">
        <x:f>IF(OR(G163="",H163=""),"",IF(H163="currency",G163,G163*I163))</x:f>
      </x:c>
    </x:row>
    <x:row r="164">
      <x:c r="J164" s="7">
        <x:f>IF(OR(G164="",H164=""),"",IF(H164="currency",G164,G164*I164))</x:f>
      </x:c>
    </x:row>
    <x:row r="165">
      <x:c r="J165" s="7">
        <x:f>IF(OR(G165="",H165=""),"",IF(H165="currency",G165,G165*I165))</x:f>
      </x:c>
    </x:row>
    <x:row r="166">
      <x:c r="J166" s="7">
        <x:f>IF(OR(G166="",H166=""),"",IF(H166="currency",G166,G166*I166))</x:f>
      </x:c>
    </x:row>
    <x:row r="167">
      <x:c r="J167" s="7">
        <x:f>IF(OR(G167="",H167=""),"",IF(H167="currency",G167,G167*I167))</x:f>
      </x:c>
    </x:row>
    <x:row r="168">
      <x:c r="J168" s="7">
        <x:f>IF(OR(G168="",H168=""),"",IF(H168="currency",G168,G168*I168))</x:f>
      </x:c>
    </x:row>
    <x:row r="169">
      <x:c r="J169" s="7">
        <x:f>IF(OR(G169="",H169=""),"",IF(H169="currency",G169,G169*I169))</x:f>
      </x:c>
    </x:row>
    <x:row r="170">
      <x:c r="J170" s="7">
        <x:f>IF(OR(G170="",H170=""),"",IF(H170="currency",G170,G170*I170))</x:f>
      </x:c>
    </x:row>
    <x:row r="171">
      <x:c r="J171" s="7">
        <x:f>IF(OR(G171="",H171=""),"",IF(H171="currency",G171,G171*I171))</x:f>
      </x:c>
    </x:row>
    <x:row r="172">
      <x:c r="J172" s="7">
        <x:f>IF(OR(G172="",H172=""),"",IF(H172="currency",G172,G172*I172))</x:f>
      </x:c>
    </x:row>
    <x:row r="173">
      <x:c r="J173" s="7">
        <x:f>IF(OR(G173="",H173=""),"",IF(H173="currency",G173,G173*I173))</x:f>
      </x:c>
    </x:row>
    <x:row r="174">
      <x:c r="J174" s="7">
        <x:f>IF(OR(G174="",H174=""),"",IF(H174="currency",G174,G174*I174))</x:f>
      </x:c>
    </x:row>
    <x:row r="175">
      <x:c r="J175" s="7">
        <x:f>IF(OR(G175="",H175=""),"",IF(H175="currency",G175,G175*I175))</x:f>
      </x:c>
    </x:row>
    <x:row r="176">
      <x:c r="J176" s="7">
        <x:f>IF(OR(G176="",H176=""),"",IF(H176="currency",G176,G176*I176))</x:f>
      </x:c>
    </x:row>
    <x:row r="177">
      <x:c r="J177" s="7">
        <x:f>IF(OR(G177="",H177=""),"",IF(H177="currency",G177,G177*I177))</x:f>
      </x:c>
    </x:row>
    <x:row r="178">
      <x:c r="J178" s="7">
        <x:f>IF(OR(G178="",H178=""),"",IF(H178="currency",G178,G178*I178))</x:f>
      </x:c>
    </x:row>
    <x:row r="179">
      <x:c r="J179" s="7">
        <x:f>IF(OR(G179="",H179=""),"",IF(H179="currency",G179,G179*I179))</x:f>
      </x:c>
    </x:row>
    <x:row r="180">
      <x:c r="J180" s="7">
        <x:f>IF(OR(G180="",H180=""),"",IF(H180="currency",G180,G180*I180))</x:f>
      </x:c>
    </x:row>
    <x:row r="181">
      <x:c r="J181" s="7">
        <x:f>IF(OR(G181="",H181=""),"",IF(H181="currency",G181,G181*I181))</x:f>
      </x:c>
    </x:row>
    <x:row r="182">
      <x:c r="J182" s="7">
        <x:f>IF(OR(G182="",H182=""),"",IF(H182="currency",G182,G182*I182))</x:f>
      </x:c>
    </x:row>
    <x:row r="183">
      <x:c r="J183" s="7">
        <x:f>IF(OR(G183="",H183=""),"",IF(H183="currency",G183,G183*I183))</x:f>
      </x:c>
    </x:row>
    <x:row r="184">
      <x:c r="J184" s="7">
        <x:f>IF(OR(G184="",H184=""),"",IF(H184="currency",G184,G184*I184))</x:f>
      </x:c>
    </x:row>
    <x:row r="185">
      <x:c r="J185" s="7">
        <x:f>IF(OR(G185="",H185=""),"",IF(H185="currency",G185,G185*I185))</x:f>
      </x:c>
    </x:row>
    <x:row r="186">
      <x:c r="J186" s="7">
        <x:f>IF(OR(G186="",H186=""),"",IF(H186="currency",G186,G186*I186))</x:f>
      </x:c>
    </x:row>
    <x:row r="187">
      <x:c r="J187" s="7">
        <x:f>IF(OR(G187="",H187=""),"",IF(H187="currency",G187,G187*I187))</x:f>
      </x:c>
    </x:row>
    <x:row r="188">
      <x:c r="J188" s="7">
        <x:f>IF(OR(G188="",H188=""),"",IF(H188="currency",G188,G188*I188))</x:f>
      </x:c>
    </x:row>
    <x:row r="189">
      <x:c r="J189" s="7">
        <x:f>IF(OR(G189="",H189=""),"",IF(H189="currency",G189,G189*I189))</x:f>
      </x:c>
    </x:row>
    <x:row r="190">
      <x:c r="J190" s="7">
        <x:f>IF(OR(G190="",H190=""),"",IF(H190="currency",G190,G190*I190))</x:f>
      </x:c>
    </x:row>
    <x:row r="191">
      <x:c r="J191" s="7">
        <x:f>IF(OR(G191="",H191=""),"",IF(H191="currency",G191,G191*I191))</x:f>
      </x:c>
    </x:row>
    <x:row r="192">
      <x:c r="J192" s="7">
        <x:f>IF(OR(G192="",H192=""),"",IF(H192="currency",G192,G192*I192))</x:f>
      </x:c>
    </x:row>
    <x:row r="193">
      <x:c r="J193" s="7">
        <x:f>IF(OR(G193="",H193=""),"",IF(H193="currency",G193,G193*I193))</x:f>
      </x:c>
    </x:row>
    <x:row r="194">
      <x:c r="J194" s="7">
        <x:f>IF(OR(G194="",H194=""),"",IF(H194="currency",G194,G194*I194))</x:f>
      </x:c>
    </x:row>
    <x:row r="195">
      <x:c r="J195" s="7">
        <x:f>IF(OR(G195="",H195=""),"",IF(H195="currency",G195,G195*I195))</x:f>
      </x:c>
    </x:row>
    <x:row r="196">
      <x:c r="J196" s="7">
        <x:f>IF(OR(G196="",H196=""),"",IF(H196="currency",G196,G196*I196))</x:f>
      </x:c>
    </x:row>
    <x:row r="197">
      <x:c r="J197" s="7">
        <x:f>IF(OR(G197="",H197=""),"",IF(H197="currency",G197,G197*I197))</x:f>
      </x:c>
    </x:row>
    <x:row r="198">
      <x:c r="J198" s="7">
        <x:f>IF(OR(G198="",H198=""),"",IF(H198="currency",G198,G198*I198))</x:f>
      </x:c>
    </x:row>
    <x:row r="199">
      <x:c r="J199" s="7">
        <x:f>IF(OR(G199="",H199=""),"",IF(H199="currency",G199,G199*I199))</x:f>
      </x:c>
    </x:row>
    <x:row r="200">
      <x:c r="J200" s="7">
        <x:f>IF(OR(G200="",H200=""),"",IF(H200="currency",G200,G200*I200))</x:f>
      </x:c>
    </x:row>
    <x:row r="201">
      <x:c r="J201" s="7">
        <x:f>IF(OR(G201="",H201=""),"",IF(H201="currency",G201,G201*I201))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8" t="inlineStr">
        <x:is>
          <x:t xml:space="preserve">Earnings_Codes</x:t>
        </x:is>
      </x:c>
      <x:c r="C1" s="8" t="inlineStr">
        <x:is>
          <x:t xml:space="preserve">Line_Status</x:t>
        </x:is>
      </x:c>
      <x:c r="E1" s="8" t="inlineStr">
        <x:is>
          <x:t xml:space="preserve">Exception_Status</x:t>
        </x:is>
      </x:c>
      <x:c r="G1" s="8" t="inlineStr">
        <x:is>
          <x:t xml:space="preserve">Severity</x:t>
        </x:is>
      </x:c>
    </x:row>
    <x:row r="2">
      <x:c r="A2" t="inlineStr">
        <x:is>
          <x:t xml:space="preserve">REG_HRS</x:t>
        </x:is>
      </x:c>
      <x:c r="C2" t="inlineStr">
        <x:is>
          <x:t xml:space="preserve">Draft</x:t>
        </x:is>
      </x:c>
      <x:c r="E2" t="inlineStr">
        <x:is>
          <x:t xml:space="preserve">Open</x:t>
        </x:is>
      </x:c>
      <x:c r="G2" t="inlineStr">
        <x:is>
          <x:t xml:space="preserve">Low</x:t>
        </x:is>
      </x:c>
    </x:row>
    <x:row r="3">
      <x:c r="A3" t="inlineStr">
        <x:is>
          <x:t xml:space="preserve">OT_HRS</x:t>
        </x:is>
      </x:c>
      <x:c r="C3" t="inlineStr">
        <x:is>
          <x:t xml:space="preserve">Submitted</x:t>
        </x:is>
      </x:c>
      <x:c r="E3" t="inlineStr">
        <x:is>
          <x:t xml:space="preserve">In Review</x:t>
        </x:is>
      </x:c>
      <x:c r="G3" t="inlineStr">
        <x:is>
          <x:t xml:space="preserve">Medium</x:t>
        </x:is>
      </x:c>
    </x:row>
    <x:row r="4">
      <x:c r="A4" t="inlineStr">
        <x:is>
          <x:t xml:space="preserve">STOP_PAY</x:t>
        </x:is>
      </x:c>
      <x:c r="C4" t="inlineStr">
        <x:is>
          <x:t xml:space="preserve">Approved</x:t>
        </x:is>
      </x:c>
      <x:c r="E4" t="inlineStr">
        <x:is>
          <x:t xml:space="preserve">Resolved</x:t>
        </x:is>
      </x:c>
      <x:c r="G4" t="inlineStr">
        <x:is>
          <x:t xml:space="preserve">High</x:t>
        </x:is>
      </x:c>
    </x:row>
    <x:row r="5">
      <x:c r="A5" t="inlineStr">
        <x:is>
          <x:t xml:space="preserve">MILE_REIMB</x:t>
        </x:is>
      </x:c>
      <x:c r="C5" t="inlineStr">
        <x:is>
          <x:t xml:space="preserve">Locked</x:t>
        </x:is>
      </x:c>
      <x:c r="E5" t="inlineStr">
        <x:is>
          <x:t xml:space="preserve">Waived</x:t>
        </x:is>
      </x:c>
    </x:row>
    <x:row r="6">
      <x:c r="A6" t="inlineStr">
        <x:is>
          <x:t xml:space="preserve">BONUS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16" customWidth="1"/>
    <x:col min="4" max="4" width="12" customWidth="1"/>
    <x:col min="5" max="5" width="18" customWidth="1"/>
    <x:col min="6" max="6" width="18" customWidth="1"/>
    <x:col min="7" max="7" width="10" customWidth="1"/>
    <x:col min="8" max="8" width="35" customWidth="1"/>
    <x:col min="9" max="9" width="18" customWidth="1"/>
    <x:col min="10" max="10" width="12" customWidth="1"/>
    <x:col min="11" max="11" width="35" customWidth="1"/>
    <x:col min="12" max="12" width="18" customWidth="1"/>
    <x:col min="13" max="13" width="18" customWidth="1"/>
    <x:col min="14" max="14" width="16" customWidth="1"/>
    <x:col min="15" max="15" width="16" customWidth="1"/>
  </x:cols>
  <x:sheetData>
    <x:row r="1" ht="22" customHeight="1">
      <x:c r="A1" s="5" t="inlineStr">
        <x:is>
          <x:t xml:space="preserve">Exception_ID</x:t>
        </x:is>
      </x:c>
      <x:c r="B1" s="5" t="inlineStr">
        <x:is>
          <x:t xml:space="preserve">Worker_ID</x:t>
        </x:is>
      </x:c>
      <x:c r="C1" s="5" t="inlineStr">
        <x:is>
          <x:t xml:space="preserve">Timesheet_ID</x:t>
        </x:is>
      </x:c>
      <x:c r="D1" s="5" t="inlineStr">
        <x:is>
          <x:t xml:space="preserve">PayPeriodID</x:t>
        </x:is>
      </x:c>
      <x:c r="E1" s="5" t="inlineStr">
        <x:is>
          <x:t xml:space="preserve">Exception_Type</x:t>
        </x:is>
      </x:c>
      <x:c r="F1" s="5" t="inlineStr">
        <x:is>
          <x:t xml:space="preserve">Detected_At</x:t>
        </x:is>
      </x:c>
      <x:c r="G1" s="5" t="inlineStr">
        <x:is>
          <x:t xml:space="preserve">Severity</x:t>
        </x:is>
      </x:c>
      <x:c r="H1" s="5" t="inlineStr">
        <x:is>
          <x:t xml:space="preserve">Description</x:t>
        </x:is>
      </x:c>
      <x:c r="I1" s="5" t="inlineStr">
        <x:is>
          <x:t xml:space="preserve">Owner</x:t>
        </x:is>
      </x:c>
      <x:c r="J1" s="5" t="inlineStr">
        <x:is>
          <x:t xml:space="preserve">Status</x:t>
        </x:is>
      </x:c>
      <x:c r="K1" s="5" t="inlineStr">
        <x:is>
          <x:t xml:space="preserve">Resolution</x:t>
        </x:is>
      </x:c>
      <x:c r="L1" s="5" t="inlineStr">
        <x:is>
          <x:t xml:space="preserve">Resolved_By</x:t>
        </x:is>
      </x:c>
      <x:c r="M1" s="5" t="inlineStr">
        <x:is>
          <x:t xml:space="preserve">Resolved_At</x:t>
        </x:is>
      </x:c>
      <x:c r="N1" s="5" t="inlineStr">
        <x:is>
          <x:t xml:space="preserve">Approval_Required?</x:t>
        </x:is>
      </x:c>
      <x:c r="O1" s="5" t="inlineStr">
        <x:is>
          <x:t xml:space="preserve">Approval_Ref</x:t>
        </x:is>
      </x:c>
    </x:row>
    <x:row r="2">
      <x:c r="A2" s="6" t="inlineStr">
        <x:is>
          <x:t xml:space="preserve">EX-001</x:t>
        </x:is>
      </x:c>
      <x:c r="B2" s="6" t="inlineStr">
        <x:is>
          <x:t xml:space="preserve">W-1002</x:t>
        </x:is>
      </x:c>
      <x:c r="C2" s="6" t="inlineStr">
        <x:is>
          <x:t xml:space="preserve">TS-PP-2026-W07-W-1002</x:t>
        </x:is>
      </x:c>
      <x:c r="D2" s="6" t="inlineStr">
        <x:is>
          <x:t xml:space="preserve">PP-2026-W07</x:t>
        </x:is>
      </x:c>
      <x:c r="E2" s="6" t="inlineStr">
        <x:is>
          <x:t xml:space="preserve">Clock-in missing optional fields</x:t>
        </x:is>
      </x:c>
      <x:c r="F2" s="6" t="inlineStr">
        <x:is>
          <x:t xml:space="preserve">2026-02-09 08:12</x:t>
        </x:is>
      </x:c>
      <x:c r="G2" s="6" t="inlineStr">
        <x:is>
          <x:t xml:space="preserve">Low</x:t>
        </x:is>
      </x:c>
      <x:c r="H2" s="6" t="inlineStr">
        <x:is>
          <x:t xml:space="preserve">Clock-in event missing geo fields; reviewed</x:t>
        </x:is>
      </x:c>
      <x:c r="I2" s="6" t="inlineStr">
        <x:is>
          <x:t xml:space="preserve">payroll.ops</x:t>
        </x:is>
      </x:c>
      <x:c r="J2" s="6" t="inlineStr">
        <x:is>
          <x:t xml:space="preserve">Resolved</x:t>
        </x:is>
      </x:c>
      <x:c r="K2" t="inlineStr">
        <x:is>
          <x:t xml:space="preserve">Accepted per policy; evidence retained</x:t>
        </x:is>
      </x:c>
      <x:c r="L2" t="inlineStr">
        <x:is>
          <x:t xml:space="preserve">payroll.ops@flashship.example</x:t>
        </x:is>
      </x:c>
      <x:c r="M2" t="inlineStr">
        <x:is>
          <x:t xml:space="preserve">2026-02-09 10:00</x:t>
        </x:is>
      </x:c>
      <x:c r="N2" s="6" t="inlineStr">
        <x:is>
          <x:t xml:space="preserve">No</x:t>
        </x:is>
      </x:c>
      <x:c r="O2" s="6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10" customWidth="1"/>
    <x:col min="3" max="3" width="12" customWidth="1"/>
    <x:col min="4" max="4" width="14" customWidth="1"/>
    <x:col min="5" max="5" width="16" customWidth="1"/>
    <x:col min="6" max="6" width="30" customWidth="1"/>
  </x:cols>
  <x:sheetData>
    <x:row r="1" ht="22" customHeight="1">
      <x:c r="A1" s="5" t="inlineStr">
        <x:is>
          <x:t xml:space="preserve">Timesheet_ID</x:t>
        </x:is>
      </x:c>
      <x:c r="B1" s="5" t="inlineStr">
        <x:is>
          <x:t xml:space="preserve">Worker_ID</x:t>
        </x:is>
      </x:c>
      <x:c r="C1" s="5" t="inlineStr">
        <x:is>
          <x:t xml:space="preserve">PayPeriodID</x:t>
        </x:is>
      </x:c>
      <x:c r="D1" s="5" t="inlineStr">
        <x:is>
          <x:t xml:space="preserve">Total_Amount</x:t>
        </x:is>
      </x:c>
      <x:c r="E1" s="5" t="inlineStr">
        <x:is>
          <x:t xml:space="preserve">Timesheet_Status</x:t>
        </x:is>
      </x:c>
      <x:c r="F1" s="5" t="inlineStr">
        <x:is>
          <x:t xml:space="preserve">Notes</x:t>
        </x:is>
      </x:c>
    </x:row>
    <x:row r="2">
      <x:c r="A2" s="6" t="inlineStr">
        <x:is>
          <x:t xml:space="preserve">TS-PP-2026-W07-W-1001</x:t>
        </x:is>
      </x:c>
      <x:c r="B2" s="6" t="inlineStr">
        <x:is>
          <x:t xml:space="preserve">W-1001</x:t>
        </x:is>
      </x:c>
      <x:c r="C2" s="6" t="inlineStr">
        <x:is>
          <x:t xml:space="preserve">PP-2026-W07</x:t>
        </x:is>
      </x:c>
      <x:c r="D2" s="7">
        <x:f>IF(A2="","",SUMIF(Timesheet_Lines!$A$2:$A$201,A2,Timesheet_Lines!$J$2:$J$201))</x:f>
        <x:v>703</x:v>
      </x:c>
      <x:c r="E2" s="6" t="inlineStr">
        <x:is>
          <x:t xml:space="preserve">Submitted</x:t>
        </x:is>
      </x:c>
    </x:row>
    <x:row r="3">
      <x:c r="A3" t="inlineStr">
        <x:is>
          <x:t xml:space="preserve">TS-PP-2026-W07-W-1002</x:t>
        </x:is>
      </x:c>
      <x:c r="B3" t="inlineStr">
        <x:is>
          <x:t xml:space="preserve">W-1002</x:t>
        </x:is>
      </x:c>
      <x:c r="C3" t="inlineStr">
        <x:is>
          <x:t xml:space="preserve">PP-2026-W07</x:t>
        </x:is>
      </x:c>
      <x:c r="D3" s="7">
        <x:f>IF(A3="","",SUMIF(Timesheet_Lines!$A$2:$A$201,A3,Timesheet_Lines!$J$2:$J$201))</x:f>
        <x:v>0</x:v>
      </x:c>
      <x:c r="E3" t="inlineStr">
        <x:is>
          <x:t xml:space="preserve">Submitted</x:t>
        </x:is>
      </x:c>
    </x:row>
    <x:row r="4">
      <x:c r="A4" t="inlineStr">
        <x:is>
          <x:t xml:space="preserve">TS-PP-2026-W07-W-1003</x:t>
        </x:is>
      </x:c>
      <x:c r="B4" t="inlineStr">
        <x:is>
          <x:t xml:space="preserve">W-1003</x:t>
        </x:is>
      </x:c>
      <x:c r="C4" t="inlineStr">
        <x:is>
          <x:t xml:space="preserve">PP-2026-W07</x:t>
        </x:is>
      </x:c>
      <x:c r="D4" s="7">
        <x:f>IF(A4="","",SUMIF(Timesheet_Lines!$A$2:$A$201,A4,Timesheet_Lines!$J$2:$J$201))</x:f>
        <x:v>0</x:v>
      </x:c>
      <x:c r="E4" t="inlineStr">
        <x:is>
          <x:t xml:space="preserve">Submitted</x:t>
        </x:is>
      </x:c>
    </x:row>
    <x:row r="5">
      <x:c r="D5" s="7">
        <x:f>IF(A5="","",SUMIF(Timesheet_Lines!$A$2:$A$201,A5,Timesheet_Lines!$J$2:$J$201))</x:f>
      </x:c>
    </x:row>
    <x:row r="6">
      <x:c r="D6" s="7">
        <x:f>IF(A6="","",SUMIF(Timesheet_Lines!$A$2:$A$201,A6,Timesheet_Lines!$J$2:$J$201))</x:f>
      </x:c>
    </x:row>
    <x:row r="7">
      <x:c r="D7" s="7">
        <x:f>IF(A7="","",SUMIF(Timesheet_Lines!$A$2:$A$201,A7,Timesheet_Lines!$J$2:$J$201))</x:f>
      </x:c>
    </x:row>
    <x:row r="8">
      <x:c r="D8" s="7">
        <x:f>IF(A8="","",SUMIF(Timesheet_Lines!$A$2:$A$201,A8,Timesheet_Lines!$J$2:$J$201))</x:f>
      </x:c>
    </x:row>
    <x:row r="9">
      <x:c r="D9" s="7">
        <x:f>IF(A9="","",SUMIF(Timesheet_Lines!$A$2:$A$201,A9,Timesheet_Lines!$J$2:$J$201))</x:f>
      </x:c>
    </x:row>
    <x:row r="10">
      <x:c r="D10" s="7">
        <x:f>IF(A10="","",SUMIF(Timesheet_Lines!$A$2:$A$201,A10,Timesheet_Lines!$J$2:$J$201))</x:f>
      </x:c>
    </x:row>
    <x:row r="11">
      <x:c r="D11" s="7">
        <x:f>IF(A11="","",SUMIF(Timesheet_Lines!$A$2:$A$201,A11,Timesheet_Lines!$J$2:$J$201))</x:f>
      </x:c>
    </x:row>
    <x:row r="12">
      <x:c r="D12" s="7">
        <x:f>IF(A12="","",SUMIF(Timesheet_Lines!$A$2:$A$201,A12,Timesheet_Lines!$J$2:$J$201))</x:f>
      </x:c>
    </x:row>
    <x:row r="13">
      <x:c r="D13" s="7">
        <x:f>IF(A13="","",SUMIF(Timesheet_Lines!$A$2:$A$201,A13,Timesheet_Lines!$J$2:$J$201))</x:f>
      </x:c>
    </x:row>
    <x:row r="14">
      <x:c r="D14" s="7">
        <x:f>IF(A14="","",SUMIF(Timesheet_Lines!$A$2:$A$201,A14,Timesheet_Lines!$J$2:$J$201))</x:f>
      </x:c>
    </x:row>
    <x:row r="15">
      <x:c r="D15" s="7">
        <x:f>IF(A15="","",SUMIF(Timesheet_Lines!$A$2:$A$201,A15,Timesheet_Lines!$J$2:$J$201))</x:f>
      </x:c>
    </x:row>
    <x:row r="16">
      <x:c r="D16" s="7">
        <x:f>IF(A16="","",SUMIF(Timesheet_Lines!$A$2:$A$201,A16,Timesheet_Lines!$J$2:$J$201))</x:f>
      </x:c>
    </x:row>
    <x:row r="17">
      <x:c r="D17" s="7">
        <x:f>IF(A17="","",SUMIF(Timesheet_Lines!$A$2:$A$201,A17,Timesheet_Lines!$J$2:$J$201))</x:f>
      </x:c>
    </x:row>
    <x:row r="18">
      <x:c r="D18" s="7">
        <x:f>IF(A18="","",SUMIF(Timesheet_Lines!$A$2:$A$201,A18,Timesheet_Lines!$J$2:$J$201))</x:f>
      </x:c>
    </x:row>
    <x:row r="19">
      <x:c r="D19" s="7">
        <x:f>IF(A19="","",SUMIF(Timesheet_Lines!$A$2:$A$201,A19,Timesheet_Lines!$J$2:$J$201))</x:f>
      </x:c>
    </x:row>
    <x:row r="20">
      <x:c r="D20" s="7">
        <x:f>IF(A20="","",SUMIF(Timesheet_Lines!$A$2:$A$201,A20,Timesheet_Lines!$J$2:$J$201))</x:f>
      </x:c>
    </x:row>
    <x:row r="21">
      <x:c r="D21" s="7">
        <x:f>IF(A21="","",SUMIF(Timesheet_Lines!$A$2:$A$201,A21,Timesheet_Lines!$J$2:$J$201))</x:f>
      </x:c>
    </x:row>
    <x:row r="22">
      <x:c r="D22" s="7">
        <x:f>IF(A22="","",SUMIF(Timesheet_Lines!$A$2:$A$201,A22,Timesheet_Lines!$J$2:$J$201))</x:f>
      </x:c>
    </x:row>
    <x:row r="23">
      <x:c r="D23" s="7">
        <x:f>IF(A23="","",SUMIF(Timesheet_Lines!$A$2:$A$201,A23,Timesheet_Lines!$J$2:$J$201))</x:f>
      </x:c>
    </x:row>
    <x:row r="24">
      <x:c r="D24" s="7">
        <x:f>IF(A24="","",SUMIF(Timesheet_Lines!$A$2:$A$201,A24,Timesheet_Lines!$J$2:$J$201))</x:f>
      </x:c>
    </x:row>
    <x:row r="25">
      <x:c r="D25" s="7">
        <x:f>IF(A25="","",SUMIF(Timesheet_Lines!$A$2:$A$201,A25,Timesheet_Lines!$J$2:$J$201))</x:f>
      </x:c>
    </x:row>
    <x:row r="26">
      <x:c r="D26" s="7">
        <x:f>IF(A26="","",SUMIF(Timesheet_Lines!$A$2:$A$201,A26,Timesheet_Lines!$J$2:$J$201))</x:f>
      </x:c>
    </x:row>
    <x:row r="27">
      <x:c r="D27" s="7">
        <x:f>IF(A27="","",SUMIF(Timesheet_Lines!$A$2:$A$201,A27,Timesheet_Lines!$J$2:$J$201))</x:f>
      </x:c>
    </x:row>
    <x:row r="28">
      <x:c r="D28" s="7">
        <x:f>IF(A28="","",SUMIF(Timesheet_Lines!$A$2:$A$201,A28,Timesheet_Lines!$J$2:$J$201))</x:f>
      </x:c>
    </x:row>
    <x:row r="29">
      <x:c r="D29" s="7">
        <x:f>IF(A29="","",SUMIF(Timesheet_Lines!$A$2:$A$201,A29,Timesheet_Lines!$J$2:$J$201))</x:f>
      </x:c>
    </x:row>
    <x:row r="30">
      <x:c r="D30" s="7">
        <x:f>IF(A30="","",SUMIF(Timesheet_Lines!$A$2:$A$201,A30,Timesheet_Lines!$J$2:$J$201))</x:f>
      </x:c>
    </x:row>
    <x:row r="31">
      <x:c r="D31" s="7">
        <x:f>IF(A31="","",SUMIF(Timesheet_Lines!$A$2:$A$201,A31,Timesheet_Lines!$J$2:$J$201))</x:f>
      </x:c>
    </x:row>
    <x:row r="32">
      <x:c r="D32" s="7">
        <x:f>IF(A32="","",SUMIF(Timesheet_Lines!$A$2:$A$201,A32,Timesheet_Lines!$J$2:$J$201))</x:f>
      </x:c>
    </x:row>
    <x:row r="33">
      <x:c r="D33" s="7">
        <x:f>IF(A33="","",SUMIF(Timesheet_Lines!$A$2:$A$201,A33,Timesheet_Lines!$J$2:$J$201))</x:f>
      </x:c>
    </x:row>
    <x:row r="34">
      <x:c r="D34" s="7">
        <x:f>IF(A34="","",SUMIF(Timesheet_Lines!$A$2:$A$201,A34,Timesheet_Lines!$J$2:$J$201))</x:f>
      </x:c>
    </x:row>
    <x:row r="35">
      <x:c r="D35" s="7">
        <x:f>IF(A35="","",SUMIF(Timesheet_Lines!$A$2:$A$201,A35,Timesheet_Lines!$J$2:$J$201))</x:f>
      </x:c>
    </x:row>
    <x:row r="36">
      <x:c r="D36" s="7">
        <x:f>IF(A36="","",SUMIF(Timesheet_Lines!$A$2:$A$201,A36,Timesheet_Lines!$J$2:$J$201))</x:f>
      </x:c>
    </x:row>
    <x:row r="37">
      <x:c r="D37" s="7">
        <x:f>IF(A37="","",SUMIF(Timesheet_Lines!$A$2:$A$201,A37,Timesheet_Lines!$J$2:$J$201))</x:f>
      </x:c>
    </x:row>
    <x:row r="38">
      <x:c r="D38" s="7">
        <x:f>IF(A38="","",SUMIF(Timesheet_Lines!$A$2:$A$201,A38,Timesheet_Lines!$J$2:$J$201))</x:f>
      </x:c>
    </x:row>
    <x:row r="39">
      <x:c r="D39" s="7">
        <x:f>IF(A39="","",SUMIF(Timesheet_Lines!$A$2:$A$201,A39,Timesheet_Lines!$J$2:$J$201))</x:f>
      </x:c>
    </x:row>
    <x:row r="40">
      <x:c r="D40" s="7">
        <x:f>IF(A40="","",SUMIF(Timesheet_Lines!$A$2:$A$201,A40,Timesheet_Lines!$J$2:$J$201))</x:f>
      </x:c>
    </x:row>
    <x:row r="41">
      <x:c r="D41" s="7">
        <x:f>IF(A41="","",SUMIF(Timesheet_Lines!$A$2:$A$201,A41,Timesheet_Lines!$J$2:$J$201))</x:f>
      </x:c>
    </x:row>
    <x:row r="42">
      <x:c r="D42" s="7">
        <x:f>IF(A42="","",SUMIF(Timesheet_Lines!$A$2:$A$201,A42,Timesheet_Lines!$J$2:$J$201))</x:f>
      </x:c>
    </x:row>
    <x:row r="43">
      <x:c r="D43" s="7">
        <x:f>IF(A43="","",SUMIF(Timesheet_Lines!$A$2:$A$201,A43,Timesheet_Lines!$J$2:$J$201))</x:f>
      </x:c>
    </x:row>
    <x:row r="44">
      <x:c r="D44" s="7">
        <x:f>IF(A44="","",SUMIF(Timesheet_Lines!$A$2:$A$201,A44,Timesheet_Lines!$J$2:$J$201))</x:f>
      </x:c>
    </x:row>
    <x:row r="45">
      <x:c r="D45" s="7">
        <x:f>IF(A45="","",SUMIF(Timesheet_Lines!$A$2:$A$201,A45,Timesheet_Lines!$J$2:$J$201))</x:f>
      </x:c>
    </x:row>
    <x:row r="46">
      <x:c r="D46" s="7">
        <x:f>IF(A46="","",SUMIF(Timesheet_Lines!$A$2:$A$201,A46,Timesheet_Lines!$J$2:$J$201))</x:f>
      </x:c>
    </x:row>
    <x:row r="47">
      <x:c r="D47" s="7">
        <x:f>IF(A47="","",SUMIF(Timesheet_Lines!$A$2:$A$201,A47,Timesheet_Lines!$J$2:$J$201))</x:f>
      </x:c>
    </x:row>
    <x:row r="48">
      <x:c r="D48" s="7">
        <x:f>IF(A48="","",SUMIF(Timesheet_Lines!$A$2:$A$201,A48,Timesheet_Lines!$J$2:$J$201))</x:f>
      </x:c>
    </x:row>
    <x:row r="49">
      <x:c r="D49" s="7">
        <x:f>IF(A49="","",SUMIF(Timesheet_Lines!$A$2:$A$201,A49,Timesheet_Lines!$J$2:$J$201))</x:f>
      </x:c>
    </x:row>
    <x:row r="50">
      <x:c r="D50" s="7">
        <x:f>IF(A50="","",SUMIF(Timesheet_Lines!$A$2:$A$201,A50,Timesheet_Lines!$J$2:$J$201))</x:f>
      </x:c>
    </x:row>
    <x:row r="51">
      <x:c r="D51" s="7">
        <x:f>IF(A51="","",SUMIF(Timesheet_Lines!$A$2:$A$201,A51,Timesheet_Lines!$J$2:$J$201))</x:f>
      </x:c>
    </x:row>
    <x:row r="52">
      <x:c r="D52" s="7">
        <x:f>IF(A52="","",SUMIF(Timesheet_Lines!$A$2:$A$201,A52,Timesheet_Lines!$J$2:$J$201))</x:f>
      </x:c>
    </x:row>
    <x:row r="53">
      <x:c r="D53" s="7">
        <x:f>IF(A53="","",SUMIF(Timesheet_Lines!$A$2:$A$201,A53,Timesheet_Lines!$J$2:$J$201))</x:f>
      </x:c>
    </x:row>
    <x:row r="54">
      <x:c r="D54" s="7">
        <x:f>IF(A54="","",SUMIF(Timesheet_Lines!$A$2:$A$201,A54,Timesheet_Lines!$J$2:$J$201))</x:f>
      </x:c>
    </x:row>
    <x:row r="55">
      <x:c r="D55" s="7">
        <x:f>IF(A55="","",SUMIF(Timesheet_Lines!$A$2:$A$201,A55,Timesheet_Lines!$J$2:$J$201))</x:f>
      </x:c>
    </x:row>
    <x:row r="56">
      <x:c r="D56" s="7">
        <x:f>IF(A56="","",SUMIF(Timesheet_Lines!$A$2:$A$201,A56,Timesheet_Lines!$J$2:$J$201))</x:f>
      </x:c>
    </x:row>
    <x:row r="57">
      <x:c r="D57" s="7">
        <x:f>IF(A57="","",SUMIF(Timesheet_Lines!$A$2:$A$201,A57,Timesheet_Lines!$J$2:$J$201))</x:f>
      </x:c>
    </x:row>
    <x:row r="58">
      <x:c r="D58" s="7">
        <x:f>IF(A58="","",SUMIF(Timesheet_Lines!$A$2:$A$201,A58,Timesheet_Lines!$J$2:$J$201))</x:f>
      </x:c>
    </x:row>
    <x:row r="59">
      <x:c r="D59" s="7">
        <x:f>IF(A59="","",SUMIF(Timesheet_Lines!$A$2:$A$201,A59,Timesheet_Lines!$J$2:$J$201))</x:f>
      </x:c>
    </x:row>
    <x:row r="60">
      <x:c r="D60" s="7">
        <x:f>IF(A60="","",SUMIF(Timesheet_Lines!$A$2:$A$201,A60,Timesheet_Lines!$J$2:$J$201))</x:f>
      </x:c>
    </x:row>
    <x:row r="61">
      <x:c r="D61" s="7">
        <x:f>IF(A61="","",SUMIF(Timesheet_Lines!$A$2:$A$201,A61,Timesheet_Lines!$J$2:$J$201))</x:f>
      </x:c>
    </x:row>
    <x:row r="62">
      <x:c r="D62" s="7">
        <x:f>IF(A62="","",SUMIF(Timesheet_Lines!$A$2:$A$201,A62,Timesheet_Lines!$J$2:$J$201))</x:f>
      </x:c>
    </x:row>
    <x:row r="63">
      <x:c r="D63" s="7">
        <x:f>IF(A63="","",SUMIF(Timesheet_Lines!$A$2:$A$201,A63,Timesheet_Lines!$J$2:$J$201))</x:f>
      </x:c>
    </x:row>
    <x:row r="64">
      <x:c r="D64" s="7">
        <x:f>IF(A64="","",SUMIF(Timesheet_Lines!$A$2:$A$201,A64,Timesheet_Lines!$J$2:$J$201))</x:f>
      </x:c>
    </x:row>
    <x:row r="65">
      <x:c r="D65" s="7">
        <x:f>IF(A65="","",SUMIF(Timesheet_Lines!$A$2:$A$201,A65,Timesheet_Lines!$J$2:$J$201))</x:f>
      </x:c>
    </x:row>
    <x:row r="66">
      <x:c r="D66" s="7">
        <x:f>IF(A66="","",SUMIF(Timesheet_Lines!$A$2:$A$201,A66,Timesheet_Lines!$J$2:$J$201))</x:f>
      </x:c>
    </x:row>
    <x:row r="67">
      <x:c r="D67" s="7">
        <x:f>IF(A67="","",SUMIF(Timesheet_Lines!$A$2:$A$201,A67,Timesheet_Lines!$J$2:$J$201))</x:f>
      </x:c>
    </x:row>
    <x:row r="68">
      <x:c r="D68" s="7">
        <x:f>IF(A68="","",SUMIF(Timesheet_Lines!$A$2:$A$201,A68,Timesheet_Lines!$J$2:$J$201))</x:f>
      </x:c>
    </x:row>
    <x:row r="69">
      <x:c r="D69" s="7">
        <x:f>IF(A69="","",SUMIF(Timesheet_Lines!$A$2:$A$201,A69,Timesheet_Lines!$J$2:$J$201))</x:f>
      </x:c>
    </x:row>
    <x:row r="70">
      <x:c r="D70" s="7">
        <x:f>IF(A70="","",SUMIF(Timesheet_Lines!$A$2:$A$201,A70,Timesheet_Lines!$J$2:$J$201))</x:f>
      </x:c>
    </x:row>
    <x:row r="71">
      <x:c r="D71" s="7">
        <x:f>IF(A71="","",SUMIF(Timesheet_Lines!$A$2:$A$201,A71,Timesheet_Lines!$J$2:$J$201))</x:f>
      </x:c>
    </x:row>
    <x:row r="72">
      <x:c r="D72" s="7">
        <x:f>IF(A72="","",SUMIF(Timesheet_Lines!$A$2:$A$201,A72,Timesheet_Lines!$J$2:$J$201))</x:f>
      </x:c>
    </x:row>
    <x:row r="73">
      <x:c r="D73" s="7">
        <x:f>IF(A73="","",SUMIF(Timesheet_Lines!$A$2:$A$201,A73,Timesheet_Lines!$J$2:$J$201))</x:f>
      </x:c>
    </x:row>
    <x:row r="74">
      <x:c r="D74" s="7">
        <x:f>IF(A74="","",SUMIF(Timesheet_Lines!$A$2:$A$201,A74,Timesheet_Lines!$J$2:$J$201))</x:f>
      </x:c>
    </x:row>
    <x:row r="75">
      <x:c r="D75" s="7">
        <x:f>IF(A75="","",SUMIF(Timesheet_Lines!$A$2:$A$201,A75,Timesheet_Lines!$J$2:$J$201))</x:f>
      </x:c>
    </x:row>
    <x:row r="76">
      <x:c r="D76" s="7">
        <x:f>IF(A76="","",SUMIF(Timesheet_Lines!$A$2:$A$201,A76,Timesheet_Lines!$J$2:$J$201))</x:f>
      </x:c>
    </x:row>
    <x:row r="77">
      <x:c r="D77" s="7">
        <x:f>IF(A77="","",SUMIF(Timesheet_Lines!$A$2:$A$201,A77,Timesheet_Lines!$J$2:$J$201))</x:f>
      </x:c>
    </x:row>
    <x:row r="78">
      <x:c r="D78" s="7">
        <x:f>IF(A78="","",SUMIF(Timesheet_Lines!$A$2:$A$201,A78,Timesheet_Lines!$J$2:$J$201))</x:f>
      </x:c>
    </x:row>
    <x:row r="79">
      <x:c r="D79" s="7">
        <x:f>IF(A79="","",SUMIF(Timesheet_Lines!$A$2:$A$201,A79,Timesheet_Lines!$J$2:$J$201))</x:f>
      </x:c>
    </x:row>
    <x:row r="80">
      <x:c r="D80" s="7">
        <x:f>IF(A80="","",SUMIF(Timesheet_Lines!$A$2:$A$201,A80,Timesheet_Lines!$J$2:$J$201))</x:f>
      </x:c>
    </x:row>
    <x:row r="81">
      <x:c r="D81" s="7">
        <x:f>IF(A81="","",SUMIF(Timesheet_Lines!$A$2:$A$201,A81,Timesheet_Lines!$J$2:$J$201))</x:f>
      </x:c>
    </x:row>
    <x:row r="82">
      <x:c r="D82" s="7">
        <x:f>IF(A82="","",SUMIF(Timesheet_Lines!$A$2:$A$201,A82,Timesheet_Lines!$J$2:$J$201))</x:f>
      </x:c>
    </x:row>
    <x:row r="83">
      <x:c r="D83" s="7">
        <x:f>IF(A83="","",SUMIF(Timesheet_Lines!$A$2:$A$201,A83,Timesheet_Lines!$J$2:$J$201))</x:f>
      </x:c>
    </x:row>
    <x:row r="84">
      <x:c r="D84" s="7">
        <x:f>IF(A84="","",SUMIF(Timesheet_Lines!$A$2:$A$201,A84,Timesheet_Lines!$J$2:$J$201))</x:f>
      </x:c>
    </x:row>
    <x:row r="85">
      <x:c r="D85" s="7">
        <x:f>IF(A85="","",SUMIF(Timesheet_Lines!$A$2:$A$201,A85,Timesheet_Lines!$J$2:$J$201))</x:f>
      </x:c>
    </x:row>
    <x:row r="86">
      <x:c r="D86" s="7">
        <x:f>IF(A86="","",SUMIF(Timesheet_Lines!$A$2:$A$201,A86,Timesheet_Lines!$J$2:$J$201))</x:f>
      </x:c>
    </x:row>
    <x:row r="87">
      <x:c r="D87" s="7">
        <x:f>IF(A87="","",SUMIF(Timesheet_Lines!$A$2:$A$201,A87,Timesheet_Lines!$J$2:$J$201))</x:f>
      </x:c>
    </x:row>
    <x:row r="88">
      <x:c r="D88" s="7">
        <x:f>IF(A88="","",SUMIF(Timesheet_Lines!$A$2:$A$201,A88,Timesheet_Lines!$J$2:$J$201))</x:f>
      </x:c>
    </x:row>
    <x:row r="89">
      <x:c r="D89" s="7">
        <x:f>IF(A89="","",SUMIF(Timesheet_Lines!$A$2:$A$201,A89,Timesheet_Lines!$J$2:$J$201))</x:f>
      </x:c>
    </x:row>
    <x:row r="90">
      <x:c r="D90" s="7">
        <x:f>IF(A90="","",SUMIF(Timesheet_Lines!$A$2:$A$201,A90,Timesheet_Lines!$J$2:$J$201))</x:f>
      </x:c>
    </x:row>
    <x:row r="91">
      <x:c r="D91" s="7">
        <x:f>IF(A91="","",SUMIF(Timesheet_Lines!$A$2:$A$201,A91,Timesheet_Lines!$J$2:$J$201))</x:f>
      </x:c>
    </x:row>
    <x:row r="92">
      <x:c r="D92" s="7">
        <x:f>IF(A92="","",SUMIF(Timesheet_Lines!$A$2:$A$201,A92,Timesheet_Lines!$J$2:$J$201))</x:f>
      </x:c>
    </x:row>
    <x:row r="93">
      <x:c r="D93" s="7">
        <x:f>IF(A93="","",SUMIF(Timesheet_Lines!$A$2:$A$201,A93,Timesheet_Lines!$J$2:$J$201))</x:f>
      </x:c>
    </x:row>
    <x:row r="94">
      <x:c r="D94" s="7">
        <x:f>IF(A94="","",SUMIF(Timesheet_Lines!$A$2:$A$201,A94,Timesheet_Lines!$J$2:$J$201))</x:f>
      </x:c>
    </x:row>
    <x:row r="95">
      <x:c r="D95" s="7">
        <x:f>IF(A95="","",SUMIF(Timesheet_Lines!$A$2:$A$201,A95,Timesheet_Lines!$J$2:$J$201))</x:f>
      </x:c>
    </x:row>
    <x:row r="96">
      <x:c r="D96" s="7">
        <x:f>IF(A96="","",SUMIF(Timesheet_Lines!$A$2:$A$201,A96,Timesheet_Lines!$J$2:$J$201))</x:f>
      </x:c>
    </x:row>
    <x:row r="97">
      <x:c r="D97" s="7">
        <x:f>IF(A97="","",SUMIF(Timesheet_Lines!$A$2:$A$201,A97,Timesheet_Lines!$J$2:$J$201))</x:f>
      </x:c>
    </x:row>
    <x:row r="98">
      <x:c r="D98" s="7">
        <x:f>IF(A98="","",SUMIF(Timesheet_Lines!$A$2:$A$201,A98,Timesheet_Lines!$J$2:$J$201))</x:f>
      </x:c>
    </x:row>
    <x:row r="99">
      <x:c r="D99" s="7">
        <x:f>IF(A99="","",SUMIF(Timesheet_Lines!$A$2:$A$201,A99,Timesheet_Lines!$J$2:$J$201))</x:f>
      </x:c>
    </x:row>
    <x:row r="100">
      <x:c r="D100" s="7">
        <x:f>IF(A100="","",SUMIF(Timesheet_Lines!$A$2:$A$201,A100,Timesheet_Lines!$J$2:$J$201))</x:f>
      </x:c>
    </x:row>
    <x:row r="101">
      <x:c r="D101" s="7">
        <x:f>IF(A101="","",SUMIF(Timesheet_Lines!$A$2:$A$201,A101,Timesheet_Lines!$J$2:$J$201))</x:f>
      </x:c>
    </x:row>
    <x:row r="102">
      <x:c r="D102" s="7">
        <x:f>IF(A102="","",SUMIF(Timesheet_Lines!$A$2:$A$201,A102,Timesheet_Lines!$J$2:$J$201))</x:f>
      </x:c>
    </x:row>
    <x:row r="103">
      <x:c r="D103" s="7">
        <x:f>IF(A103="","",SUMIF(Timesheet_Lines!$A$2:$A$201,A103,Timesheet_Lines!$J$2:$J$201))</x:f>
      </x:c>
    </x:row>
    <x:row r="104">
      <x:c r="D104" s="7">
        <x:f>IF(A104="","",SUMIF(Timesheet_Lines!$A$2:$A$201,A104,Timesheet_Lines!$J$2:$J$201))</x:f>
      </x:c>
    </x:row>
    <x:row r="105">
      <x:c r="D105" s="7">
        <x:f>IF(A105="","",SUMIF(Timesheet_Lines!$A$2:$A$201,A105,Timesheet_Lines!$J$2:$J$201))</x:f>
      </x:c>
    </x:row>
    <x:row r="106">
      <x:c r="D106" s="7">
        <x:f>IF(A106="","",SUMIF(Timesheet_Lines!$A$2:$A$201,A106,Timesheet_Lines!$J$2:$J$201))</x:f>
      </x:c>
    </x:row>
    <x:row r="107">
      <x:c r="D107" s="7">
        <x:f>IF(A107="","",SUMIF(Timesheet_Lines!$A$2:$A$201,A107,Timesheet_Lines!$J$2:$J$201))</x:f>
      </x:c>
    </x:row>
    <x:row r="108">
      <x:c r="D108" s="7">
        <x:f>IF(A108="","",SUMIF(Timesheet_Lines!$A$2:$A$201,A108,Timesheet_Lines!$J$2:$J$201))</x:f>
      </x:c>
    </x:row>
    <x:row r="109">
      <x:c r="D109" s="7">
        <x:f>IF(A109="","",SUMIF(Timesheet_Lines!$A$2:$A$201,A109,Timesheet_Lines!$J$2:$J$201))</x:f>
      </x:c>
    </x:row>
    <x:row r="110">
      <x:c r="D110" s="7">
        <x:f>IF(A110="","",SUMIF(Timesheet_Lines!$A$2:$A$201,A110,Timesheet_Lines!$J$2:$J$201))</x:f>
      </x:c>
    </x:row>
    <x:row r="111">
      <x:c r="D111" s="7">
        <x:f>IF(A111="","",SUMIF(Timesheet_Lines!$A$2:$A$201,A111,Timesheet_Lines!$J$2:$J$201))</x:f>
      </x:c>
    </x:row>
    <x:row r="112">
      <x:c r="D112" s="7">
        <x:f>IF(A112="","",SUMIF(Timesheet_Lines!$A$2:$A$201,A112,Timesheet_Lines!$J$2:$J$201))</x:f>
      </x:c>
    </x:row>
    <x:row r="113">
      <x:c r="D113" s="7">
        <x:f>IF(A113="","",SUMIF(Timesheet_Lines!$A$2:$A$201,A113,Timesheet_Lines!$J$2:$J$201))</x:f>
      </x:c>
    </x:row>
    <x:row r="114">
      <x:c r="D114" s="7">
        <x:f>IF(A114="","",SUMIF(Timesheet_Lines!$A$2:$A$201,A114,Timesheet_Lines!$J$2:$J$201))</x:f>
      </x:c>
    </x:row>
    <x:row r="115">
      <x:c r="D115" s="7">
        <x:f>IF(A115="","",SUMIF(Timesheet_Lines!$A$2:$A$201,A115,Timesheet_Lines!$J$2:$J$201))</x:f>
      </x:c>
    </x:row>
    <x:row r="116">
      <x:c r="D116" s="7">
        <x:f>IF(A116="","",SUMIF(Timesheet_Lines!$A$2:$A$201,A116,Timesheet_Lines!$J$2:$J$201))</x:f>
      </x:c>
    </x:row>
    <x:row r="117">
      <x:c r="D117" s="7">
        <x:f>IF(A117="","",SUMIF(Timesheet_Lines!$A$2:$A$201,A117,Timesheet_Lines!$J$2:$J$201))</x:f>
      </x:c>
    </x:row>
    <x:row r="118">
      <x:c r="D118" s="7">
        <x:f>IF(A118="","",SUMIF(Timesheet_Lines!$A$2:$A$201,A118,Timesheet_Lines!$J$2:$J$201))</x:f>
      </x:c>
    </x:row>
    <x:row r="119">
      <x:c r="D119" s="7">
        <x:f>IF(A119="","",SUMIF(Timesheet_Lines!$A$2:$A$201,A119,Timesheet_Lines!$J$2:$J$201))</x:f>
      </x:c>
    </x:row>
    <x:row r="120">
      <x:c r="D120" s="7">
        <x:f>IF(A120="","",SUMIF(Timesheet_Lines!$A$2:$A$201,A120,Timesheet_Lines!$J$2:$J$201))</x:f>
      </x:c>
    </x:row>
    <x:row r="121">
      <x:c r="D121" s="7">
        <x:f>IF(A121="","",SUMIF(Timesheet_Lines!$A$2:$A$201,A121,Timesheet_Lines!$J$2:$J$201))</x:f>
      </x:c>
    </x:row>
    <x:row r="122">
      <x:c r="D122" s="7">
        <x:f>IF(A122="","",SUMIF(Timesheet_Lines!$A$2:$A$201,A122,Timesheet_Lines!$J$2:$J$201))</x:f>
      </x:c>
    </x:row>
    <x:row r="123">
      <x:c r="D123" s="7">
        <x:f>IF(A123="","",SUMIF(Timesheet_Lines!$A$2:$A$201,A123,Timesheet_Lines!$J$2:$J$201))</x:f>
      </x:c>
    </x:row>
    <x:row r="124">
      <x:c r="D124" s="7">
        <x:f>IF(A124="","",SUMIF(Timesheet_Lines!$A$2:$A$201,A124,Timesheet_Lines!$J$2:$J$201))</x:f>
      </x:c>
    </x:row>
    <x:row r="125">
      <x:c r="D125" s="7">
        <x:f>IF(A125="","",SUMIF(Timesheet_Lines!$A$2:$A$201,A125,Timesheet_Lines!$J$2:$J$201))</x:f>
      </x:c>
    </x:row>
    <x:row r="126">
      <x:c r="D126" s="7">
        <x:f>IF(A126="","",SUMIF(Timesheet_Lines!$A$2:$A$201,A126,Timesheet_Lines!$J$2:$J$201))</x:f>
      </x:c>
    </x:row>
    <x:row r="127">
      <x:c r="D127" s="7">
        <x:f>IF(A127="","",SUMIF(Timesheet_Lines!$A$2:$A$201,A127,Timesheet_Lines!$J$2:$J$201))</x:f>
      </x:c>
    </x:row>
    <x:row r="128">
      <x:c r="D128" s="7">
        <x:f>IF(A128="","",SUMIF(Timesheet_Lines!$A$2:$A$201,A128,Timesheet_Lines!$J$2:$J$201))</x:f>
      </x:c>
    </x:row>
    <x:row r="129">
      <x:c r="D129" s="7">
        <x:f>IF(A129="","",SUMIF(Timesheet_Lines!$A$2:$A$201,A129,Timesheet_Lines!$J$2:$J$201))</x:f>
      </x:c>
    </x:row>
    <x:row r="130">
      <x:c r="D130" s="7">
        <x:f>IF(A130="","",SUMIF(Timesheet_Lines!$A$2:$A$201,A130,Timesheet_Lines!$J$2:$J$201))</x:f>
      </x:c>
    </x:row>
    <x:row r="131">
      <x:c r="D131" s="7">
        <x:f>IF(A131="","",SUMIF(Timesheet_Lines!$A$2:$A$201,A131,Timesheet_Lines!$J$2:$J$201))</x:f>
      </x:c>
    </x:row>
    <x:row r="132">
      <x:c r="D132" s="7">
        <x:f>IF(A132="","",SUMIF(Timesheet_Lines!$A$2:$A$201,A132,Timesheet_Lines!$J$2:$J$201))</x:f>
      </x:c>
    </x:row>
    <x:row r="133">
      <x:c r="D133" s="7">
        <x:f>IF(A133="","",SUMIF(Timesheet_Lines!$A$2:$A$201,A133,Timesheet_Lines!$J$2:$J$201))</x:f>
      </x:c>
    </x:row>
    <x:row r="134">
      <x:c r="D134" s="7">
        <x:f>IF(A134="","",SUMIF(Timesheet_Lines!$A$2:$A$201,A134,Timesheet_Lines!$J$2:$J$201))</x:f>
      </x:c>
    </x:row>
    <x:row r="135">
      <x:c r="D135" s="7">
        <x:f>IF(A135="","",SUMIF(Timesheet_Lines!$A$2:$A$201,A135,Timesheet_Lines!$J$2:$J$201))</x:f>
      </x:c>
    </x:row>
    <x:row r="136">
      <x:c r="D136" s="7">
        <x:f>IF(A136="","",SUMIF(Timesheet_Lines!$A$2:$A$201,A136,Timesheet_Lines!$J$2:$J$201))</x:f>
      </x:c>
    </x:row>
    <x:row r="137">
      <x:c r="D137" s="7">
        <x:f>IF(A137="","",SUMIF(Timesheet_Lines!$A$2:$A$201,A137,Timesheet_Lines!$J$2:$J$201))</x:f>
      </x:c>
    </x:row>
    <x:row r="138">
      <x:c r="D138" s="7">
        <x:f>IF(A138="","",SUMIF(Timesheet_Lines!$A$2:$A$201,A138,Timesheet_Lines!$J$2:$J$201))</x:f>
      </x:c>
    </x:row>
    <x:row r="139">
      <x:c r="D139" s="7">
        <x:f>IF(A139="","",SUMIF(Timesheet_Lines!$A$2:$A$201,A139,Timesheet_Lines!$J$2:$J$201))</x:f>
      </x:c>
    </x:row>
    <x:row r="140">
      <x:c r="D140" s="7">
        <x:f>IF(A140="","",SUMIF(Timesheet_Lines!$A$2:$A$201,A140,Timesheet_Lines!$J$2:$J$201))</x:f>
      </x:c>
    </x:row>
    <x:row r="141">
      <x:c r="D141" s="7">
        <x:f>IF(A141="","",SUMIF(Timesheet_Lines!$A$2:$A$201,A141,Timesheet_Lines!$J$2:$J$201))</x:f>
      </x:c>
    </x:row>
    <x:row r="142">
      <x:c r="D142" s="7">
        <x:f>IF(A142="","",SUMIF(Timesheet_Lines!$A$2:$A$201,A142,Timesheet_Lines!$J$2:$J$201))</x:f>
      </x:c>
    </x:row>
    <x:row r="143">
      <x:c r="D143" s="7">
        <x:f>IF(A143="","",SUMIF(Timesheet_Lines!$A$2:$A$201,A143,Timesheet_Lines!$J$2:$J$201))</x:f>
      </x:c>
    </x:row>
    <x:row r="144">
      <x:c r="D144" s="7">
        <x:f>IF(A144="","",SUMIF(Timesheet_Lines!$A$2:$A$201,A144,Timesheet_Lines!$J$2:$J$201))</x:f>
      </x:c>
    </x:row>
    <x:row r="145">
      <x:c r="D145" s="7">
        <x:f>IF(A145="","",SUMIF(Timesheet_Lines!$A$2:$A$201,A145,Timesheet_Lines!$J$2:$J$201))</x:f>
      </x:c>
    </x:row>
    <x:row r="146">
      <x:c r="D146" s="7">
        <x:f>IF(A146="","",SUMIF(Timesheet_Lines!$A$2:$A$201,A146,Timesheet_Lines!$J$2:$J$201))</x:f>
      </x:c>
    </x:row>
    <x:row r="147">
      <x:c r="D147" s="7">
        <x:f>IF(A147="","",SUMIF(Timesheet_Lines!$A$2:$A$201,A147,Timesheet_Lines!$J$2:$J$201))</x:f>
      </x:c>
    </x:row>
    <x:row r="148">
      <x:c r="D148" s="7">
        <x:f>IF(A148="","",SUMIF(Timesheet_Lines!$A$2:$A$201,A148,Timesheet_Lines!$J$2:$J$201))</x:f>
      </x:c>
    </x:row>
    <x:row r="149">
      <x:c r="D149" s="7">
        <x:f>IF(A149="","",SUMIF(Timesheet_Lines!$A$2:$A$201,A149,Timesheet_Lines!$J$2:$J$201))</x:f>
      </x:c>
    </x:row>
    <x:row r="150">
      <x:c r="D150" s="7">
        <x:f>IF(A150="","",SUMIF(Timesheet_Lines!$A$2:$A$201,A150,Timesheet_Lines!$J$2:$J$201))</x:f>
      </x:c>
    </x:row>
    <x:row r="151">
      <x:c r="D151" s="7">
        <x:f>IF(A151="","",SUMIF(Timesheet_Lines!$A$2:$A$201,A151,Timesheet_Lines!$J$2:$J$201))</x:f>
      </x:c>
    </x:row>
    <x:row r="152">
      <x:c r="D152" s="7">
        <x:f>IF(A152="","",SUMIF(Timesheet_Lines!$A$2:$A$201,A152,Timesheet_Lines!$J$2:$J$201))</x:f>
      </x:c>
    </x:row>
    <x:row r="153">
      <x:c r="D153" s="7">
        <x:f>IF(A153="","",SUMIF(Timesheet_Lines!$A$2:$A$201,A153,Timesheet_Lines!$J$2:$J$201))</x:f>
      </x:c>
    </x:row>
    <x:row r="154">
      <x:c r="D154" s="7">
        <x:f>IF(A154="","",SUMIF(Timesheet_Lines!$A$2:$A$201,A154,Timesheet_Lines!$J$2:$J$201))</x:f>
      </x:c>
    </x:row>
    <x:row r="155">
      <x:c r="D155" s="7">
        <x:f>IF(A155="","",SUMIF(Timesheet_Lines!$A$2:$A$201,A155,Timesheet_Lines!$J$2:$J$201))</x:f>
      </x:c>
    </x:row>
    <x:row r="156">
      <x:c r="D156" s="7">
        <x:f>IF(A156="","",SUMIF(Timesheet_Lines!$A$2:$A$201,A156,Timesheet_Lines!$J$2:$J$201))</x:f>
      </x:c>
    </x:row>
    <x:row r="157">
      <x:c r="D157" s="7">
        <x:f>IF(A157="","",SUMIF(Timesheet_Lines!$A$2:$A$201,A157,Timesheet_Lines!$J$2:$J$201))</x:f>
      </x:c>
    </x:row>
    <x:row r="158">
      <x:c r="D158" s="7">
        <x:f>IF(A158="","",SUMIF(Timesheet_Lines!$A$2:$A$201,A158,Timesheet_Lines!$J$2:$J$201))</x:f>
      </x:c>
    </x:row>
    <x:row r="159">
      <x:c r="D159" s="7">
        <x:f>IF(A159="","",SUMIF(Timesheet_Lines!$A$2:$A$201,A159,Timesheet_Lines!$J$2:$J$201))</x:f>
      </x:c>
    </x:row>
    <x:row r="160">
      <x:c r="D160" s="7">
        <x:f>IF(A160="","",SUMIF(Timesheet_Lines!$A$2:$A$201,A160,Timesheet_Lines!$J$2:$J$201))</x:f>
      </x:c>
    </x:row>
    <x:row r="161">
      <x:c r="D161" s="7">
        <x:f>IF(A161="","",SUMIF(Timesheet_Lines!$A$2:$A$201,A161,Timesheet_Lines!$J$2:$J$201))</x:f>
      </x:c>
    </x:row>
    <x:row r="162">
      <x:c r="D162" s="7">
        <x:f>IF(A162="","",SUMIF(Timesheet_Lines!$A$2:$A$201,A162,Timesheet_Lines!$J$2:$J$201))</x:f>
      </x:c>
    </x:row>
    <x:row r="163">
      <x:c r="D163" s="7">
        <x:f>IF(A163="","",SUMIF(Timesheet_Lines!$A$2:$A$201,A163,Timesheet_Lines!$J$2:$J$201))</x:f>
      </x:c>
    </x:row>
    <x:row r="164">
      <x:c r="D164" s="7">
        <x:f>IF(A164="","",SUMIF(Timesheet_Lines!$A$2:$A$201,A164,Timesheet_Lines!$J$2:$J$201))</x:f>
      </x:c>
    </x:row>
    <x:row r="165">
      <x:c r="D165" s="7">
        <x:f>IF(A165="","",SUMIF(Timesheet_Lines!$A$2:$A$201,A165,Timesheet_Lines!$J$2:$J$201))</x:f>
      </x:c>
    </x:row>
    <x:row r="166">
      <x:c r="D166" s="7">
        <x:f>IF(A166="","",SUMIF(Timesheet_Lines!$A$2:$A$201,A166,Timesheet_Lines!$J$2:$J$201))</x:f>
      </x:c>
    </x:row>
    <x:row r="167">
      <x:c r="D167" s="7">
        <x:f>IF(A167="","",SUMIF(Timesheet_Lines!$A$2:$A$201,A167,Timesheet_Lines!$J$2:$J$201))</x:f>
      </x:c>
    </x:row>
    <x:row r="168">
      <x:c r="D168" s="7">
        <x:f>IF(A168="","",SUMIF(Timesheet_Lines!$A$2:$A$201,A168,Timesheet_Lines!$J$2:$J$201))</x:f>
      </x:c>
    </x:row>
    <x:row r="169">
      <x:c r="D169" s="7">
        <x:f>IF(A169="","",SUMIF(Timesheet_Lines!$A$2:$A$201,A169,Timesheet_Lines!$J$2:$J$201))</x:f>
      </x:c>
    </x:row>
    <x:row r="170">
      <x:c r="D170" s="7">
        <x:f>IF(A170="","",SUMIF(Timesheet_Lines!$A$2:$A$201,A170,Timesheet_Lines!$J$2:$J$201))</x:f>
      </x:c>
    </x:row>
    <x:row r="171">
      <x:c r="D171" s="7">
        <x:f>IF(A171="","",SUMIF(Timesheet_Lines!$A$2:$A$201,A171,Timesheet_Lines!$J$2:$J$201))</x:f>
      </x:c>
    </x:row>
    <x:row r="172">
      <x:c r="D172" s="7">
        <x:f>IF(A172="","",SUMIF(Timesheet_Lines!$A$2:$A$201,A172,Timesheet_Lines!$J$2:$J$201))</x:f>
      </x:c>
    </x:row>
    <x:row r="173">
      <x:c r="D173" s="7">
        <x:f>IF(A173="","",SUMIF(Timesheet_Lines!$A$2:$A$201,A173,Timesheet_Lines!$J$2:$J$201))</x:f>
      </x:c>
    </x:row>
    <x:row r="174">
      <x:c r="D174" s="7">
        <x:f>IF(A174="","",SUMIF(Timesheet_Lines!$A$2:$A$201,A174,Timesheet_Lines!$J$2:$J$201))</x:f>
      </x:c>
    </x:row>
    <x:row r="175">
      <x:c r="D175" s="7">
        <x:f>IF(A175="","",SUMIF(Timesheet_Lines!$A$2:$A$201,A175,Timesheet_Lines!$J$2:$J$201))</x:f>
      </x:c>
    </x:row>
    <x:row r="176">
      <x:c r="D176" s="7">
        <x:f>IF(A176="","",SUMIF(Timesheet_Lines!$A$2:$A$201,A176,Timesheet_Lines!$J$2:$J$201))</x:f>
      </x:c>
    </x:row>
    <x:row r="177">
      <x:c r="D177" s="7">
        <x:f>IF(A177="","",SUMIF(Timesheet_Lines!$A$2:$A$201,A177,Timesheet_Lines!$J$2:$J$201))</x:f>
      </x:c>
    </x:row>
    <x:row r="178">
      <x:c r="D178" s="7">
        <x:f>IF(A178="","",SUMIF(Timesheet_Lines!$A$2:$A$201,A178,Timesheet_Lines!$J$2:$J$201))</x:f>
      </x:c>
    </x:row>
    <x:row r="179">
      <x:c r="D179" s="7">
        <x:f>IF(A179="","",SUMIF(Timesheet_Lines!$A$2:$A$201,A179,Timesheet_Lines!$J$2:$J$201))</x:f>
      </x:c>
    </x:row>
    <x:row r="180">
      <x:c r="D180" s="7">
        <x:f>IF(A180="","",SUMIF(Timesheet_Lines!$A$2:$A$201,A180,Timesheet_Lines!$J$2:$J$201))</x:f>
      </x:c>
    </x:row>
    <x:row r="181">
      <x:c r="D181" s="7">
        <x:f>IF(A181="","",SUMIF(Timesheet_Lines!$A$2:$A$201,A181,Timesheet_Lines!$J$2:$J$201))</x:f>
      </x:c>
    </x:row>
    <x:row r="182">
      <x:c r="D182" s="7">
        <x:f>IF(A182="","",SUMIF(Timesheet_Lines!$A$2:$A$201,A182,Timesheet_Lines!$J$2:$J$201))</x:f>
      </x:c>
    </x:row>
    <x:row r="183">
      <x:c r="D183" s="7">
        <x:f>IF(A183="","",SUMIF(Timesheet_Lines!$A$2:$A$201,A183,Timesheet_Lines!$J$2:$J$201))</x:f>
      </x:c>
    </x:row>
    <x:row r="184">
      <x:c r="D184" s="7">
        <x:f>IF(A184="","",SUMIF(Timesheet_Lines!$A$2:$A$201,A184,Timesheet_Lines!$J$2:$J$201))</x:f>
      </x:c>
    </x:row>
    <x:row r="185">
      <x:c r="D185" s="7">
        <x:f>IF(A185="","",SUMIF(Timesheet_Lines!$A$2:$A$201,A185,Timesheet_Lines!$J$2:$J$201))</x:f>
      </x:c>
    </x:row>
    <x:row r="186">
      <x:c r="D186" s="7">
        <x:f>IF(A186="","",SUMIF(Timesheet_Lines!$A$2:$A$201,A186,Timesheet_Lines!$J$2:$J$201))</x:f>
      </x:c>
    </x:row>
    <x:row r="187">
      <x:c r="D187" s="7">
        <x:f>IF(A187="","",SUMIF(Timesheet_Lines!$A$2:$A$201,A187,Timesheet_Lines!$J$2:$J$201))</x:f>
      </x:c>
    </x:row>
    <x:row r="188">
      <x:c r="D188" s="7">
        <x:f>IF(A188="","",SUMIF(Timesheet_Lines!$A$2:$A$201,A188,Timesheet_Lines!$J$2:$J$201))</x:f>
      </x:c>
    </x:row>
    <x:row r="189">
      <x:c r="D189" s="7">
        <x:f>IF(A189="","",SUMIF(Timesheet_Lines!$A$2:$A$201,A189,Timesheet_Lines!$J$2:$J$201))</x:f>
      </x:c>
    </x:row>
    <x:row r="190">
      <x:c r="D190" s="7">
        <x:f>IF(A190="","",SUMIF(Timesheet_Lines!$A$2:$A$201,A190,Timesheet_Lines!$J$2:$J$201))</x:f>
      </x:c>
    </x:row>
    <x:row r="191">
      <x:c r="D191" s="7">
        <x:f>IF(A191="","",SUMIF(Timesheet_Lines!$A$2:$A$201,A191,Timesheet_Lines!$J$2:$J$201))</x:f>
      </x:c>
    </x:row>
    <x:row r="192">
      <x:c r="D192" s="7">
        <x:f>IF(A192="","",SUMIF(Timesheet_Lines!$A$2:$A$201,A192,Timesheet_Lines!$J$2:$J$201))</x:f>
      </x:c>
    </x:row>
    <x:row r="193">
      <x:c r="D193" s="7">
        <x:f>IF(A193="","",SUMIF(Timesheet_Lines!$A$2:$A$201,A193,Timesheet_Lines!$J$2:$J$201))</x:f>
      </x:c>
    </x:row>
    <x:row r="194">
      <x:c r="D194" s="7">
        <x:f>IF(A194="","",SUMIF(Timesheet_Lines!$A$2:$A$201,A194,Timesheet_Lines!$J$2:$J$201))</x:f>
      </x:c>
    </x:row>
    <x:row r="195">
      <x:c r="D195" s="7">
        <x:f>IF(A195="","",SUMIF(Timesheet_Lines!$A$2:$A$201,A195,Timesheet_Lines!$J$2:$J$201))</x:f>
      </x:c>
    </x:row>
    <x:row r="196">
      <x:c r="D196" s="7">
        <x:f>IF(A196="","",SUMIF(Timesheet_Lines!$A$2:$A$201,A196,Timesheet_Lines!$J$2:$J$201))</x:f>
      </x:c>
    </x:row>
    <x:row r="197">
      <x:c r="D197" s="7">
        <x:f>IF(A197="","",SUMIF(Timesheet_Lines!$A$2:$A$201,A197,Timesheet_Lines!$J$2:$J$201))</x:f>
      </x:c>
    </x:row>
    <x:row r="198">
      <x:c r="D198" s="7">
        <x:f>IF(A198="","",SUMIF(Timesheet_Lines!$A$2:$A$201,A198,Timesheet_Lines!$J$2:$J$201))</x:f>
      </x:c>
    </x:row>
    <x:row r="199">
      <x:c r="D199" s="7">
        <x:f>IF(A199="","",SUMIF(Timesheet_Lines!$A$2:$A$201,A199,Timesheet_Lines!$J$2:$J$201))</x:f>
      </x:c>
    </x:row>
    <x:row r="200">
      <x:c r="D200" s="7">
        <x:f>IF(A200="","",SUMIF(Timesheet_Lines!$A$2:$A$201,A200,Timesheet_Lines!$J$2:$J$201))</x:f>
      </x:c>
    </x:row>
    <x:row r="201">
      <x:c r="D201" s="7">
        <x:f>IF(A201="","",SUMIF(Timesheet_Lines!$A$2:$A$201,A201,Timesheet_Lines!$J$2:$J$201))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0" customWidth="1"/>
    <x:col min="2" max="2" width="40" customWidth="1"/>
  </x:cols>
  <x:sheetData>
    <x:row r="1">
      <x:c r="A1" s="9" t="inlineStr">
        <x:is>
          <x:t xml:space="preserve">Control checks</x:t>
        </x:is>
      </x:c>
    </x:row>
    <x:row r="3">
      <x:c r="A3" s="8" t="inlineStr">
        <x:is>
          <x:t xml:space="preserve">PayPeriodID</x:t>
        </x:is>
      </x:c>
      <x:c r="B3" s="6" t="inlineStr">
        <x:is>
          <x:t xml:space="preserve">PP-2026-W07</x:t>
        </x:is>
      </x:c>
    </x:row>
    <x:row r="4">
      <x:c r="A4" s="8" t="inlineStr">
        <x:is>
          <x:t xml:space="preserve">Workers expected (manual input)</x:t>
        </x:is>
      </x:c>
      <x:c r="B4" s="6" t="n">
        <x:v>3</x:v>
      </x:c>
    </x:row>
    <x:row r="6">
      <x:c r="A6" s="8" t="inlineStr">
        <x:is>
          <x:t xml:space="preserve">Timesheets present (count)</x:t>
        </x:is>
      </x:c>
      <x:c r="B6">
        <x:f>COUNTA(Timesheet_Summary!A2:A201)</x:f>
        <x:v>3</x:v>
      </x:c>
    </x:row>
    <x:row r="8">
      <x:c r="A8" s="8" t="inlineStr">
        <x:is>
          <x:t xml:space="preserve">Total amount (all timesheets)</x:t>
        </x:is>
      </x:c>
      <x:c r="B8" s="7">
        <x:f>SUM(Timesheet_Summary!D2:D201)</x:f>
        <x:v>703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18" customWidth="1"/>
    <x:col min="4" max="4" width="40" customWidth="1"/>
    <x:col min="5" max="5" width="35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5" t="inlineStr">
        <x:is>
          <x:t xml:space="preserve">Change_ID</x:t>
        </x:is>
      </x:c>
      <x:c r="B1" s="5" t="inlineStr">
        <x:is>
          <x:t xml:space="preserve">Changed_By</x:t>
        </x:is>
      </x:c>
      <x:c r="C1" s="5" t="inlineStr">
        <x:is>
          <x:t xml:space="preserve">Changed_At</x:t>
        </x:is>
      </x:c>
      <x:c r="D1" s="5" t="inlineStr">
        <x:is>
          <x:t xml:space="preserve">What_Changed</x:t>
        </x:is>
      </x:c>
      <x:c r="E1" s="5" t="inlineStr">
        <x:is>
          <x:t xml:space="preserve">Why</x:t>
        </x:is>
      </x:c>
      <x:c r="F1" s="5" t="inlineStr">
        <x:is>
          <x:t xml:space="preserve">Approved_By</x:t>
        </x:is>
      </x:c>
      <x:c r="G1" s="5" t="inlineStr">
        <x:is>
          <x:t xml:space="preserve">Approved_At</x:t>
        </x:is>
      </x:c>
      <x:c r="H1" s="5" t="inlineStr">
        <x:is>
          <x:t xml:space="preserve">Ticket/Case_ID</x:t>
        </x:is>
      </x:c>
    </x:row>
    <x:row r="2">
      <x:c r="A2" t="inlineStr">
        <x:is>
          <x:t xml:space="preserve">CHG-001</x:t>
        </x:is>
      </x:c>
      <x:c r="B2" t="inlineStr">
        <x:is>
          <x:t xml:space="preserve">payroll.ops</x:t>
        </x:is>
      </x:c>
      <x:c r="C2" t="inlineStr">
        <x:is>
          <x:t xml:space="preserve">2026-02-16 10:04</x:t>
        </x:is>
      </x:c>
      <x:c r="D2" t="inlineStr">
        <x:is>
          <x:t xml:space="preserve">Added new earnings code STOP_PAY</x:t>
        </x:is>
      </x:c>
      <x:c r="E2" t="inlineStr">
        <x:is>
          <x:t xml:space="preserve">New client program requires per-stop pay</x:t>
        </x:is>
      </x:c>
      <x:c r="F2" t="inlineStr">
        <x:is>
          <x:t xml:space="preserve">finance.ctrl</x:t>
        </x:is>
      </x:c>
      <x:c r="G2" t="inlineStr">
        <x:is>
          <x:t xml:space="preserve">2026-02-16 11:20</x:t>
        </x:is>
      </x:c>
      <x:c r="H2" t="inlineStr">
        <x:is>
          <x:t xml:space="preserve">ADR-014</x:t>
        </x:is>
      </x:c>
    </x:row>
  </x:sheetData>
  <x:pageMargins left="0.7" right="0.7" top="0.75" bottom="0.75" header="0.3" footer="0.3"/>
</x:worksheet>
</file>
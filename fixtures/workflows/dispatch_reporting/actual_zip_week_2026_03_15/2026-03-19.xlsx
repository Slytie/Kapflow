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17DD1870_A52B_4050_B148_0EDC233F2E4B_.wvu.FilterData">'Email Template'!$L$38:$O$43</definedName>
  </definedNames>
  <calcPr/>
  <customWorkbookViews>
    <customWorkbookView activeSheetId="0" maximized="1" windowHeight="0" windowWidth="0" guid="{17DD1870-A52B-4050-B148-0EDC233F2E4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<sst xmlns="http://schemas.openxmlformats.org/spreadsheetml/2006/main" count="339" uniqueCount="198">
  <si>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</si>
  <si>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</si>
  <si>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</si>
  <si>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</si>
  <si>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</si>
  <si>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</si>
  <si>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</si>
  <si>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</si>
  <si>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</si>
  <si>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</si>
  <si>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</si>
  <si>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</si>
  <si>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</si>
  <si>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</si>
  <si>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</si>
  <si>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</si>
  <si>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</si>
  <si>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</si>
  <si>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</si>
  <si>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</si>
  <si>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</si>
  <si>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</si>
  <si>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</si>
  <si>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</si>
  <si>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</si>
  <si>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</si>
  <si>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</si>
  <si>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</si>
  <si>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</si>
  <si>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</si>
  <si>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</si>
  <si>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</si>
  <si>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</si>
  <si>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</si>
  <si>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</si>
  <si>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</si>
  <si>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</si>
  <si>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</si>
  <si>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</si>
  <si>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</si>
  <si>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</si>
  <si>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</si>
  <si>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</si>
  <si>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</si>
  <si>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</si>
  <si>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</si>
  <si>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</si>
  <si>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</si>
  <si>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</si>
  <si>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</si>
  <si>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</si>
  <si>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</si>
  <si>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</si>
  <si>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</si>
  <si>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CX85</t>
  </si>
  <si>
    <t>Akash Akash (A3M38Z4NGI9OR3) / QDCI / A3M38Z4NGI9OR3</t>
  </si>
  <si>
    <t>CX84</t>
  </si>
  <si>
    <t>Khushdeep Singh Cheema (A2KXEYK2UAQ1SX) / QDCI / A2KXEYK2UAQ1SX</t>
  </si>
  <si>
    <t>CX86</t>
  </si>
  <si>
    <t>Gagandeep Singh Singh (A3959UPAEK7B1W) / QDCI / A3959UPAEK7B1W</t>
  </si>
  <si>
    <t>CX88</t>
  </si>
  <si>
    <t>Tarandeep Singh (A33HB7XV71IC7T) / QDCI / A33HB7XV71IC7T</t>
  </si>
  <si>
    <t>CX83</t>
  </si>
  <si>
    <t>Lovepreet Singh (AZULSLRV35N5I) / QDCI / AZULSLRV35N5I</t>
  </si>
  <si>
    <t>CX96</t>
  </si>
  <si>
    <t>Rahul Mannan (AKF1ZEB0TWD96) / QDCI / AKF1ZEB0TWD96</t>
  </si>
  <si>
    <t>CX97</t>
  </si>
  <si>
    <t>Pardeep Singh (AU6YIGC7GXQGA) / QDCI / AU6YIGC7GXQGA</t>
  </si>
  <si>
    <t>CX92</t>
  </si>
  <si>
    <t>Iqbal Singh (A2WDUOOWN1ORVL) / QDCI / A2WDUOOWN1ORVL</t>
  </si>
  <si>
    <t>CX91</t>
  </si>
  <si>
    <t>Harmanpreet Singh (AHJWCXI2ORDJY) / QDCI / AHJWCXI2ORDJY</t>
  </si>
  <si>
    <t>CX93</t>
  </si>
  <si>
    <t>Vishal Chaudhary (A7FWBKAGXA5LK) / QDCI / A7FWBKAGXA5LK</t>
  </si>
  <si>
    <t>CX101</t>
  </si>
  <si>
    <t>Mehakpreet Singh (A3RO6BBCA3NOYM) / QDCI / A3RO6BBCA3NOYM</t>
  </si>
  <si>
    <t>CX87</t>
  </si>
  <si>
    <t>Sikander Singh (A4KU9LEU82OTF) / QDCI / A4KU9LEU82OTF</t>
  </si>
  <si>
    <t>CX89</t>
  </si>
  <si>
    <t>Rompal Singh Hayer (A3QZGAMB5M5IK0) / QDCI / A3QZGAMB5M5IK0</t>
  </si>
  <si>
    <t>CX95</t>
  </si>
  <si>
    <t>Lovepreet Singh Bassi (A2SCS728PUCGTE) / QDCI / A2SCS728PUCGTE</t>
  </si>
  <si>
    <t>CX98</t>
  </si>
  <si>
    <t>Amritpal Singh (A1JSQIK4OD79DV) / QDCI / A1JSQIK4OD79DV</t>
  </si>
  <si>
    <t>CX99</t>
  </si>
  <si>
    <t>Gurdas Singh Sidhu (AGOU3M5WUIHWC) / QDCI / AGOU3M5WUIHWC</t>
  </si>
  <si>
    <t>CX90</t>
  </si>
  <si>
    <t>Jagraj Singh (A3NLLQPB0L46N9) / QDCI / A3NLLQPB0L46N9</t>
  </si>
  <si>
    <t>CX94</t>
  </si>
  <si>
    <t>Harnamanpreet Singh (A3M45AZWH3K5F3) / QDCI / A3M45AZWH3K5F3</t>
  </si>
  <si>
    <t>CX102</t>
  </si>
  <si>
    <t>Sukhwinder Singh (AYLV43T35EAIN) / QDCI / AYLV43T35EAIN</t>
  </si>
  <si>
    <t>CX100</t>
  </si>
  <si>
    <t>Paramjit Gherha (A1NJLYPMMEKHLK) / QDCI / A1NJLYPMMEKHLK</t>
  </si>
  <si>
    <t>SB36,37</t>
  </si>
  <si>
    <t>Karanveer Singh (A34WEHEN1XXRKR) / QDCI / A34WEHEN1XXRKR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</si>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</sst>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color rgb="FF000000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16" numFmtId="0" xfId="0" applyAlignment="1" applyBorder="1" applyFont="1">
      <alignment horizontal="center" shrinkToFit="0" vertical="bottom" wrapText="1"/>
    </xf>
    <xf borderId="58" fillId="11" fontId="16" numFmtId="0" xfId="0" applyAlignment="1" applyBorder="1" applyFont="1">
      <alignment shrinkToFit="0" vertical="bottom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readingOrder="0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7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8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8" numFmtId="0" xfId="0" applyAlignment="1" applyBorder="1" applyFont="1">
      <alignment horizontal="center" shrinkToFit="0" wrapText="1"/>
    </xf>
    <xf borderId="6" fillId="3" fontId="18" numFmtId="0" xfId="0" applyAlignment="1" applyBorder="1" applyFont="1">
      <alignment horizontal="center" shrinkToFit="0" wrapText="1"/>
    </xf>
    <xf borderId="48" fillId="17" fontId="18" numFmtId="0" xfId="0" applyAlignment="1" applyBorder="1" applyFont="1">
      <alignment horizontal="center" shrinkToFit="0" wrapText="1"/>
    </xf>
    <xf borderId="48" fillId="17" fontId="18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9" numFmtId="0" xfId="0" applyAlignment="1" applyBorder="1" applyFont="1">
      <alignment horizontal="center" vertical="center"/>
    </xf>
    <xf borderId="3" fillId="20" fontId="20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20" numFmtId="0" xfId="0" applyAlignment="1" applyBorder="1" applyFill="1" applyFont="1">
      <alignment horizontal="center" vertical="center"/>
    </xf>
    <xf borderId="3" fillId="24" fontId="21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2" numFmtId="0" xfId="0" applyBorder="1" applyFont="1"/>
    <xf borderId="29" fillId="25" fontId="23" numFmtId="0" xfId="0" applyAlignment="1" applyBorder="1" applyFill="1" applyFont="1">
      <alignment horizontal="center" shrinkToFit="0" vertical="center" wrapText="1"/>
    </xf>
    <xf borderId="30" fillId="25" fontId="23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4" numFmtId="0" xfId="0" applyAlignment="1" applyBorder="1" applyFill="1" applyFont="1">
      <alignment horizontal="center" shrinkToFit="0" vertical="center" wrapText="1"/>
    </xf>
    <xf borderId="12" fillId="27" fontId="24" numFmtId="0" xfId="0" applyAlignment="1" applyBorder="1" applyFont="1">
      <alignment horizontal="center" vertical="center"/>
    </xf>
    <xf borderId="11" fillId="27" fontId="24" numFmtId="0" xfId="0" applyAlignment="1" applyBorder="1" applyFont="1">
      <alignment horizontal="center" shrinkToFit="0" vertical="center" wrapText="1"/>
    </xf>
    <xf borderId="12" fillId="18" fontId="24" numFmtId="0" xfId="0" applyAlignment="1" applyBorder="1" applyFont="1">
      <alignment horizontal="center" shrinkToFit="0" vertical="center" wrapText="1"/>
    </xf>
    <xf borderId="12" fillId="18" fontId="24" numFmtId="0" xfId="0" applyAlignment="1" applyBorder="1" applyFont="1">
      <alignment horizontal="center" vertical="center"/>
    </xf>
    <xf borderId="11" fillId="18" fontId="24" numFmtId="0" xfId="0" applyAlignment="1" applyBorder="1" applyFont="1">
      <alignment horizontal="center" shrinkToFit="0" vertical="center" wrapText="1"/>
    </xf>
    <xf borderId="30" fillId="24" fontId="24" numFmtId="0" xfId="0" applyAlignment="1" applyBorder="1" applyFont="1">
      <alignment horizontal="center" vertical="center"/>
    </xf>
    <xf borderId="11" fillId="24" fontId="24" numFmtId="0" xfId="0" applyAlignment="1" applyBorder="1" applyFont="1">
      <alignment horizontal="center" vertical="center"/>
    </xf>
    <xf borderId="12" fillId="24" fontId="24" numFmtId="0" xfId="0" applyAlignment="1" applyBorder="1" applyFont="1">
      <alignment horizontal="center" vertical="center"/>
    </xf>
    <xf borderId="47" fillId="24" fontId="24" numFmtId="0" xfId="0" applyAlignment="1" applyBorder="1" applyFont="1">
      <alignment horizontal="center" vertical="center"/>
    </xf>
    <xf borderId="29" fillId="20" fontId="24" numFmtId="0" xfId="0" applyAlignment="1" applyBorder="1" applyFont="1">
      <alignment horizontal="center" shrinkToFit="0" vertical="center" wrapText="1"/>
    </xf>
    <xf borderId="30" fillId="20" fontId="24" numFmtId="0" xfId="0" applyAlignment="1" applyBorder="1" applyFont="1">
      <alignment horizontal="center" shrinkToFit="0" vertical="center" wrapText="1"/>
    </xf>
    <xf borderId="32" fillId="20" fontId="24" numFmtId="0" xfId="0" applyAlignment="1" applyBorder="1" applyFont="1">
      <alignment horizontal="center" shrinkToFit="0" vertical="center" wrapText="1"/>
    </xf>
    <xf borderId="31" fillId="20" fontId="24" numFmtId="0" xfId="0" applyAlignment="1" applyBorder="1" applyFont="1">
      <alignment horizontal="center" shrinkToFit="0" vertical="center" wrapText="1"/>
    </xf>
    <xf borderId="6" fillId="4" fontId="25" numFmtId="0" xfId="0" applyAlignment="1" applyBorder="1" applyFont="1">
      <alignment horizontal="center" vertical="center"/>
    </xf>
    <xf borderId="71" fillId="0" fontId="25" numFmtId="0" xfId="0" applyAlignment="1" applyBorder="1" applyFont="1">
      <alignment horizontal="center" vertical="center"/>
    </xf>
    <xf borderId="72" fillId="0" fontId="25" numFmtId="0" xfId="0" applyAlignment="1" applyBorder="1" applyFont="1">
      <alignment horizontal="center" vertical="center"/>
    </xf>
    <xf borderId="72" fillId="0" fontId="25" numFmtId="10" xfId="0" applyAlignment="1" applyBorder="1" applyFont="1" applyNumberFormat="1">
      <alignment horizontal="center" vertical="center"/>
    </xf>
    <xf borderId="73" fillId="4" fontId="25" numFmtId="0" xfId="0" applyAlignment="1" applyBorder="1" applyFont="1">
      <alignment horizontal="center" vertical="center"/>
    </xf>
    <xf borderId="74" fillId="4" fontId="25" numFmtId="0" xfId="0" applyAlignment="1" applyBorder="1" applyFont="1">
      <alignment horizontal="center" vertical="center"/>
    </xf>
    <xf borderId="75" fillId="0" fontId="25" numFmtId="0" xfId="0" applyAlignment="1" applyBorder="1" applyFont="1">
      <alignment horizontal="center" vertical="center"/>
    </xf>
    <xf borderId="72" fillId="0" fontId="25" numFmtId="20" xfId="0" applyAlignment="1" applyBorder="1" applyFont="1" applyNumberFormat="1">
      <alignment horizontal="center" vertical="center"/>
    </xf>
    <xf borderId="75" fillId="0" fontId="25" numFmtId="21" xfId="0" applyAlignment="1" applyBorder="1" applyFont="1" applyNumberFormat="1">
      <alignment horizontal="center" vertical="center"/>
    </xf>
    <xf borderId="76" fillId="0" fontId="25" numFmtId="21" xfId="0" applyAlignment="1" applyBorder="1" applyFont="1" applyNumberFormat="1">
      <alignment horizontal="center" vertical="center"/>
    </xf>
    <xf borderId="0" fillId="28" fontId="26" numFmtId="0" xfId="0" applyFill="1" applyFont="1"/>
    <xf borderId="0" fillId="28" fontId="26" numFmtId="0" xfId="0" applyAlignment="1" applyFont="1">
      <alignment readingOrder="0"/>
    </xf>
    <xf borderId="0" fillId="28" fontId="26" numFmtId="0" xfId="0" applyFont="1"/>
    <xf borderId="0" fillId="28" fontId="27" numFmtId="0" xfId="0" applyFont="1"/>
    <xf borderId="0" fillId="28" fontId="26" numFmtId="0" xfId="0" applyAlignment="1" applyFont="1">
      <alignment horizontal="left" readingOrder="0" vertical="center"/>
    </xf>
    <xf borderId="0" fillId="28" fontId="26" numFmtId="20" xfId="0" applyAlignment="1" applyFont="1" applyNumberFormat="1">
      <alignment horizontal="center" readingOrder="0" vertical="center"/>
    </xf>
    <xf borderId="0" fillId="28" fontId="26" numFmtId="0" xfId="0" applyAlignment="1" applyFont="1">
      <alignment horizontal="right" readingOrder="0" vertical="center"/>
    </xf>
    <xf borderId="0" fillId="28" fontId="26" numFmtId="164" xfId="0" applyAlignment="1" applyFont="1" applyNumberFormat="1">
      <alignment horizontal="right" readingOrder="0" vertical="center"/>
    </xf>
    <xf borderId="0" fillId="4" fontId="28" numFmtId="0" xfId="0" applyFont="1"/>
    <xf borderId="0" fillId="4" fontId="29" numFmtId="0" xfId="0" applyFont="1"/>
    <xf borderId="0" fillId="4" fontId="29" numFmtId="164" xfId="0" applyFont="1" applyNumberFormat="1"/>
    <xf borderId="0" fillId="4" fontId="30" numFmtId="0" xfId="0" applyAlignment="1" applyFont="1">
      <alignment horizontal="left" readingOrder="0" vertical="center"/>
    </xf>
    <xf borderId="0" fillId="4" fontId="31" numFmtId="164" xfId="0" applyAlignment="1" applyFont="1" applyNumberFormat="1">
      <alignment horizontal="right" readingOrder="0" vertical="center"/>
    </xf>
    <xf borderId="0" fillId="4" fontId="32" numFmtId="20" xfId="0" applyAlignment="1" applyFont="1" applyNumberFormat="1">
      <alignment horizontal="center" readingOrder="0" vertical="center"/>
    </xf>
    <xf borderId="77" fillId="4" fontId="29" numFmtId="0" xfId="0" applyBorder="1" applyFont="1"/>
    <xf borderId="77" fillId="4" fontId="29" numFmtId="164" xfId="0" applyBorder="1" applyFont="1" applyNumberFormat="1"/>
    <xf borderId="78" fillId="29" fontId="30" numFmtId="0" xfId="0" applyAlignment="1" applyBorder="1" applyFill="1" applyFont="1">
      <alignment readingOrder="0" vertical="center"/>
    </xf>
    <xf borderId="77" fillId="29" fontId="30" numFmtId="0" xfId="0" applyAlignment="1" applyBorder="1" applyFont="1">
      <alignment vertical="center"/>
    </xf>
    <xf borderId="77" fillId="29" fontId="30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30" numFmtId="0" xfId="0" applyAlignment="1" applyBorder="1" applyFill="1" applyFont="1">
      <alignment horizontal="left" readingOrder="0" vertical="center"/>
    </xf>
    <xf borderId="81" fillId="30" fontId="30" numFmtId="0" xfId="0" applyAlignment="1" applyBorder="1" applyFont="1">
      <alignment horizontal="left" readingOrder="0" vertical="center"/>
    </xf>
    <xf borderId="81" fillId="30" fontId="31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3" numFmtId="0" xfId="0" applyAlignment="1" applyBorder="1" applyFont="1">
      <alignment horizontal="right" readingOrder="0" vertical="center"/>
    </xf>
    <xf borderId="81" fillId="30" fontId="34" numFmtId="0" xfId="0" applyAlignment="1" applyBorder="1" applyFont="1">
      <alignment readingOrder="0" vertical="center"/>
    </xf>
    <xf borderId="81" fillId="30" fontId="35" numFmtId="0" xfId="0" applyAlignment="1" applyBorder="1" applyFont="1">
      <alignment horizontal="right" readingOrder="0" vertical="center"/>
    </xf>
    <xf borderId="81" fillId="30" fontId="36" numFmtId="0" xfId="0" applyAlignment="1" applyBorder="1" applyFont="1">
      <alignment horizontal="right" readingOrder="0" vertical="center"/>
    </xf>
    <xf borderId="82" fillId="30" fontId="37" numFmtId="165" xfId="0" applyAlignment="1" applyBorder="1" applyFont="1" applyNumberFormat="1">
      <alignment horizontal="left" readingOrder="0" vertical="center"/>
    </xf>
    <xf borderId="78" fillId="30" fontId="38" numFmtId="0" xfId="0" applyAlignment="1" applyBorder="1" applyFont="1">
      <alignment vertical="center"/>
    </xf>
    <xf borderId="77" fillId="30" fontId="29" numFmtId="0" xfId="0" applyAlignment="1" applyBorder="1" applyFont="1">
      <alignment vertical="center"/>
    </xf>
    <xf borderId="77" fillId="30" fontId="38" numFmtId="0" xfId="0" applyAlignment="1" applyBorder="1" applyFont="1">
      <alignment vertical="center"/>
    </xf>
    <xf borderId="77" fillId="30" fontId="1" numFmtId="0" xfId="0" applyBorder="1" applyFont="1"/>
    <xf borderId="77" fillId="30" fontId="29" numFmtId="164" xfId="0" applyAlignment="1" applyBorder="1" applyFont="1" applyNumberFormat="1">
      <alignment vertical="center"/>
    </xf>
    <xf borderId="83" fillId="30" fontId="29" numFmtId="0" xfId="0" applyAlignment="1" applyBorder="1" applyFont="1">
      <alignment vertical="center"/>
    </xf>
    <xf borderId="84" fillId="31" fontId="39" numFmtId="0" xfId="0" applyAlignment="1" applyBorder="1" applyFill="1" applyFont="1">
      <alignment horizontal="left" readingOrder="0" vertical="center"/>
    </xf>
    <xf borderId="0" fillId="31" fontId="39" numFmtId="0" xfId="0" applyAlignment="1" applyFont="1">
      <alignment horizontal="right" readingOrder="0" vertical="center"/>
    </xf>
    <xf borderId="0" fillId="31" fontId="1" numFmtId="0" xfId="0" applyFont="1"/>
    <xf borderId="0" fillId="31" fontId="40" numFmtId="0" xfId="0" applyAlignment="1" applyFont="1">
      <alignment horizontal="right" readingOrder="0" vertical="center"/>
    </xf>
    <xf borderId="0" fillId="32" fontId="39" numFmtId="0" xfId="0" applyAlignment="1" applyFill="1" applyFont="1">
      <alignment horizontal="center" readingOrder="0" vertical="center"/>
    </xf>
    <xf borderId="0" fillId="31" fontId="41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7" numFmtId="0" xfId="0" applyAlignment="1" applyBorder="1" applyFont="1">
      <alignment horizontal="right" vertical="center"/>
    </xf>
    <xf borderId="79" fillId="31" fontId="38" numFmtId="0" xfId="0" applyAlignment="1" applyBorder="1" applyFont="1">
      <alignment horizontal="center" readingOrder="0" vertical="center"/>
    </xf>
    <xf borderId="77" fillId="4" fontId="17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8" numFmtId="0" xfId="0" applyAlignment="1" applyBorder="1" applyFont="1">
      <alignment horizontal="center" vertical="center"/>
    </xf>
    <xf borderId="79" fillId="4" fontId="17" numFmtId="0" xfId="0" applyAlignment="1" applyBorder="1" applyFont="1">
      <alignment horizontal="right" vertical="center"/>
    </xf>
    <xf borderId="83" fillId="31" fontId="38" numFmtId="0" xfId="0" applyAlignment="1" applyBorder="1" applyFont="1">
      <alignment horizontal="center" vertical="center"/>
    </xf>
    <xf borderId="84" fillId="33" fontId="39" numFmtId="0" xfId="0" applyAlignment="1" applyBorder="1" applyFill="1" applyFont="1">
      <alignment horizontal="left" readingOrder="0" vertical="center"/>
    </xf>
    <xf borderId="0" fillId="33" fontId="39" numFmtId="0" xfId="0" applyAlignment="1" applyFont="1">
      <alignment horizontal="right" readingOrder="0" vertical="center"/>
    </xf>
    <xf borderId="0" fillId="33" fontId="42" numFmtId="20" xfId="0" applyAlignment="1" applyFont="1" applyNumberFormat="1">
      <alignment horizontal="left" readingOrder="0" vertical="center"/>
    </xf>
    <xf borderId="0" fillId="33" fontId="39" numFmtId="20" xfId="0" applyAlignment="1" applyFont="1" applyNumberFormat="1">
      <alignment horizontal="center" readingOrder="0" vertical="center"/>
    </xf>
    <xf borderId="0" fillId="33" fontId="42" numFmtId="0" xfId="0" applyFont="1"/>
    <xf borderId="0" fillId="33" fontId="42" numFmtId="0" xfId="0" applyAlignment="1" applyFont="1">
      <alignment horizontal="right" readingOrder="0" vertical="center"/>
    </xf>
    <xf borderId="0" fillId="33" fontId="43" numFmtId="0" xfId="0" applyAlignment="1" applyFont="1">
      <alignment horizontal="left" vertical="center"/>
    </xf>
    <xf borderId="0" fillId="33" fontId="43" numFmtId="165" xfId="0" applyAlignment="1" applyFont="1" applyNumberFormat="1">
      <alignment horizontal="left" readingOrder="0" vertical="center"/>
    </xf>
    <xf borderId="85" fillId="33" fontId="42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7" numFmtId="0" xfId="0" applyAlignment="1" applyBorder="1" applyFont="1">
      <alignment horizontal="right" vertical="center"/>
    </xf>
    <xf borderId="77" fillId="28" fontId="17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7" numFmtId="0" xfId="0" applyAlignment="1" applyBorder="1" applyFont="1">
      <alignment horizontal="right" vertical="center"/>
    </xf>
    <xf borderId="78" fillId="34" fontId="25" numFmtId="49" xfId="0" applyAlignment="1" applyBorder="1" applyFill="1" applyFont="1" applyNumberFormat="1">
      <alignment horizontal="center" readingOrder="0" vertical="center"/>
    </xf>
    <xf borderId="77" fillId="34" fontId="25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5" numFmtId="20" xfId="0" applyAlignment="1" applyBorder="1" applyFont="1" applyNumberFormat="1">
      <alignment horizontal="center" readingOrder="0" vertical="center"/>
    </xf>
    <xf borderId="77" fillId="34" fontId="44" numFmtId="20" xfId="0" applyAlignment="1" applyBorder="1" applyFont="1" applyNumberFormat="1">
      <alignment horizontal="center" vertical="center"/>
    </xf>
    <xf borderId="77" fillId="34" fontId="25" numFmtId="166" xfId="0" applyAlignment="1" applyBorder="1" applyFont="1" applyNumberFormat="1">
      <alignment horizontal="center" vertical="center"/>
    </xf>
    <xf borderId="77" fillId="34" fontId="44" numFmtId="166" xfId="0" applyAlignment="1" applyBorder="1" applyFont="1" applyNumberFormat="1">
      <alignment horizontal="center" vertical="center"/>
    </xf>
    <xf borderId="77" fillId="34" fontId="45" numFmtId="0" xfId="0" applyAlignment="1" applyBorder="1" applyFont="1">
      <alignment horizontal="center" readingOrder="0" shrinkToFit="0" vertical="center" wrapText="1"/>
    </xf>
    <xf borderId="77" fillId="34" fontId="46" numFmtId="0" xfId="0" applyAlignment="1" applyBorder="1" applyFont="1">
      <alignment horizontal="center" readingOrder="0" vertical="center"/>
    </xf>
    <xf borderId="79" fillId="34" fontId="44" numFmtId="166" xfId="0" applyAlignment="1" applyBorder="1" applyFont="1" applyNumberFormat="1">
      <alignment horizontal="left" vertical="center"/>
    </xf>
    <xf borderId="87" fillId="4" fontId="47" numFmtId="49" xfId="0" applyAlignment="1" applyBorder="1" applyFont="1" applyNumberFormat="1">
      <alignment horizontal="center" readingOrder="0" vertical="center"/>
    </xf>
    <xf borderId="88" fillId="4" fontId="47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8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8" numFmtId="166" xfId="0" applyAlignment="1" applyBorder="1" applyFont="1" applyNumberFormat="1">
      <alignment horizontal="center"/>
    </xf>
    <xf borderId="87" fillId="4" fontId="49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8" numFmtId="10" xfId="0" applyAlignment="1" applyBorder="1" applyFont="1" applyNumberFormat="1">
      <alignment horizontal="center" vertical="center"/>
    </xf>
    <xf borderId="91" fillId="4" fontId="47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8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8" numFmtId="1" xfId="0" applyAlignment="1" applyBorder="1" applyFont="1" applyNumberFormat="1">
      <alignment horizontal="center" vertical="center"/>
    </xf>
    <xf borderId="91" fillId="4" fontId="49" numFmtId="4" xfId="0" applyAlignment="1" applyBorder="1" applyFont="1" applyNumberFormat="1">
      <alignment horizontal="center" readingOrder="0" vertical="center"/>
    </xf>
    <xf borderId="79" fillId="31" fontId="38" numFmtId="21" xfId="0" applyAlignment="1" applyBorder="1" applyFont="1" applyNumberFormat="1">
      <alignment horizontal="center" vertical="center"/>
    </xf>
    <xf borderId="78" fillId="32" fontId="38" numFmtId="0" xfId="0" applyAlignment="1" applyBorder="1" applyFont="1">
      <alignment vertical="center"/>
    </xf>
    <xf borderId="77" fillId="32" fontId="29" numFmtId="0" xfId="0" applyAlignment="1" applyBorder="1" applyFont="1">
      <alignment vertical="center"/>
    </xf>
    <xf borderId="92" fillId="32" fontId="38" numFmtId="0" xfId="0" applyAlignment="1" applyBorder="1" applyFont="1">
      <alignment readingOrder="0" shrinkToFit="0" vertical="center" wrapText="0"/>
    </xf>
    <xf borderId="92" fillId="32" fontId="38" numFmtId="0" xfId="0" applyAlignment="1" applyBorder="1" applyFont="1">
      <alignment vertical="center"/>
    </xf>
    <xf borderId="77" fillId="32" fontId="38" numFmtId="0" xfId="0" applyAlignment="1" applyBorder="1" applyFont="1">
      <alignment vertical="center"/>
    </xf>
    <xf borderId="79" fillId="32" fontId="29" numFmtId="0" xfId="0" applyAlignment="1" applyBorder="1" applyFont="1">
      <alignment vertical="center"/>
    </xf>
    <xf borderId="86" fillId="33" fontId="38" numFmtId="0" xfId="0" applyAlignment="1" applyBorder="1" applyFont="1">
      <alignment horizontal="right" vertical="center"/>
    </xf>
    <xf borderId="77" fillId="33" fontId="38" numFmtId="0" xfId="0" applyAlignment="1" applyBorder="1" applyFont="1">
      <alignment horizontal="right" vertical="center"/>
    </xf>
    <xf borderId="77" fillId="31" fontId="38" numFmtId="0" xfId="0" applyAlignment="1" applyBorder="1" applyFont="1">
      <alignment horizontal="center" readingOrder="0" vertical="center"/>
    </xf>
    <xf borderId="79" fillId="4" fontId="17" numFmtId="0" xfId="0" applyAlignment="1" applyBorder="1" applyFont="1">
      <alignment horizontal="right" readingOrder="0" vertical="center"/>
    </xf>
    <xf borderId="91" fillId="4" fontId="47" numFmtId="0" xfId="0" applyAlignment="1" applyBorder="1" applyFont="1">
      <alignment horizontal="center" vertical="center"/>
    </xf>
    <xf borderId="91" fillId="4" fontId="47" numFmtId="167" xfId="0" applyAlignment="1" applyBorder="1" applyFont="1" applyNumberFormat="1">
      <alignment horizontal="center" vertical="center"/>
    </xf>
    <xf borderId="0" fillId="4" fontId="25" numFmtId="0" xfId="0" applyAlignment="1" applyFont="1">
      <alignment horizontal="center" readingOrder="0" vertical="center"/>
    </xf>
    <xf borderId="93" fillId="33" fontId="38" numFmtId="0" xfId="0" applyAlignment="1" applyBorder="1" applyFont="1">
      <alignment horizontal="right" vertical="center"/>
    </xf>
    <xf borderId="85" fillId="31" fontId="38" numFmtId="0" xfId="0" applyAlignment="1" applyBorder="1" applyFont="1">
      <alignment horizontal="center" readingOrder="0" vertical="center"/>
    </xf>
    <xf borderId="0" fillId="33" fontId="38" numFmtId="0" xfId="0" applyAlignment="1" applyFont="1">
      <alignment horizontal="right" vertical="center"/>
    </xf>
    <xf borderId="85" fillId="0" fontId="1" numFmtId="0" xfId="0" applyBorder="1" applyFont="1"/>
    <xf borderId="0" fillId="31" fontId="38" numFmtId="0" xfId="0" applyAlignment="1" applyFont="1">
      <alignment horizontal="center" readingOrder="0" vertical="center"/>
    </xf>
    <xf borderId="85" fillId="28" fontId="17" numFmtId="0" xfId="0" applyAlignment="1" applyBorder="1" applyFont="1">
      <alignment horizontal="right" readingOrder="0" vertical="center"/>
    </xf>
    <xf borderId="94" fillId="31" fontId="38" numFmtId="0" xfId="0" applyAlignment="1" applyBorder="1" applyFont="1">
      <alignment horizontal="center" vertical="center"/>
    </xf>
    <xf borderId="11" fillId="4" fontId="50" numFmtId="0" xfId="0" applyBorder="1" applyFont="1"/>
    <xf borderId="11" fillId="4" fontId="47" numFmtId="0" xfId="0" applyBorder="1" applyFont="1"/>
    <xf borderId="3" fillId="4" fontId="51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1" numFmtId="0" xfId="0" applyAlignment="1" applyBorder="1" applyFont="1">
      <alignment vertical="bottom"/>
    </xf>
    <xf borderId="91" fillId="4" fontId="25" numFmtId="0" xfId="0" applyAlignment="1" applyBorder="1" applyFont="1">
      <alignment horizontal="left" readingOrder="0" vertical="center"/>
    </xf>
    <xf borderId="77" fillId="34" fontId="52" numFmtId="0" xfId="0" applyAlignment="1" applyBorder="1" applyFont="1">
      <alignment vertical="center"/>
    </xf>
    <xf borderId="77" fillId="34" fontId="29" numFmtId="0" xfId="0" applyBorder="1" applyFont="1"/>
    <xf borderId="83" fillId="34" fontId="29" numFmtId="0" xfId="0" applyBorder="1" applyFont="1"/>
    <xf borderId="78" fillId="32" fontId="53" numFmtId="0" xfId="0" applyAlignment="1" applyBorder="1" applyFont="1">
      <alignment vertical="center"/>
    </xf>
    <xf borderId="77" fillId="32" fontId="32" numFmtId="0" xfId="0" applyAlignment="1" applyBorder="1" applyFont="1">
      <alignment horizontal="center" vertical="center"/>
    </xf>
    <xf borderId="77" fillId="32" fontId="32" numFmtId="0" xfId="0" applyAlignment="1" applyBorder="1" applyFont="1">
      <alignment vertical="center"/>
    </xf>
    <xf borderId="83" fillId="28" fontId="1" numFmtId="0" xfId="0" applyBorder="1" applyFont="1"/>
    <xf borderId="95" fillId="4" fontId="28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7" numFmtId="0" xfId="0" applyAlignment="1" applyBorder="1" applyFont="1">
      <alignment horizontal="center" vertical="center"/>
    </xf>
    <xf borderId="90" fillId="4" fontId="47" numFmtId="168" xfId="0" applyAlignment="1" applyBorder="1" applyFont="1" applyNumberFormat="1">
      <alignment horizontal="center" vertical="center"/>
    </xf>
    <xf borderId="89" fillId="4" fontId="47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7" numFmtId="0" xfId="0" applyAlignment="1" applyBorder="1" applyFont="1">
      <alignment horizontal="center" vertical="center"/>
    </xf>
    <xf borderId="90" fillId="28" fontId="47" numFmtId="168" xfId="0" applyAlignment="1" applyBorder="1" applyFont="1" applyNumberFormat="1">
      <alignment horizontal="center" vertical="center"/>
    </xf>
    <xf borderId="89" fillId="28" fontId="47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7" numFmtId="0" xfId="0" applyAlignment="1" applyBorder="1" applyFont="1">
      <alignment horizontal="center" vertical="center"/>
    </xf>
    <xf borderId="90" fillId="28" fontId="47" numFmtId="168" xfId="0" applyAlignment="1" applyBorder="1" applyFont="1" applyNumberFormat="1">
      <alignment horizontal="center" vertical="center"/>
    </xf>
    <xf borderId="89" fillId="28" fontId="47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7" numFmtId="0" xfId="0" applyAlignment="1" applyFont="1">
      <alignment horizontal="center" vertical="center"/>
    </xf>
    <xf borderId="91" fillId="4" fontId="47" numFmtId="0" xfId="0" applyAlignment="1" applyBorder="1" applyFont="1">
      <alignment horizontal="left" vertical="center"/>
    </xf>
    <xf borderId="91" fillId="4" fontId="47" numFmtId="0" xfId="0" applyAlignment="1" applyBorder="1" applyFont="1">
      <alignment horizontal="left" readingOrder="0" vertical="center"/>
    </xf>
    <xf borderId="91" fillId="4" fontId="47" numFmtId="0" xfId="0" applyAlignment="1" applyBorder="1" applyFont="1">
      <alignment horizontal="center" vertical="bottom"/>
    </xf>
    <xf borderId="0" fillId="4" fontId="47" numFmtId="0" xfId="0" applyAlignment="1" applyFont="1">
      <alignment horizontal="center" vertical="bottom"/>
    </xf>
    <xf borderId="84" fillId="4" fontId="28" numFmtId="0" xfId="0" applyBorder="1" applyFont="1"/>
    <xf borderId="88" fillId="28" fontId="48" numFmtId="0" xfId="0" applyBorder="1" applyFont="1"/>
    <xf borderId="90" fillId="28" fontId="29" numFmtId="0" xfId="0" applyBorder="1" applyFont="1"/>
    <xf borderId="90" fillId="28" fontId="29" numFmtId="168" xfId="0" applyBorder="1" applyFont="1" applyNumberFormat="1"/>
    <xf borderId="89" fillId="28" fontId="29" numFmtId="0" xfId="0" applyBorder="1" applyFont="1"/>
    <xf borderId="0" fillId="31" fontId="54" numFmtId="169" xfId="0" applyAlignment="1" applyFont="1" applyNumberForma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33" fontId="56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7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16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16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5" numFmtId="0" xfId="0" applyAlignment="1" applyBorder="1" applyFont="1">
      <alignment horizontal="center" readingOrder="0" shrinkToFit="0" vertical="bottom" wrapText="0"/>
    </xf>
    <xf borderId="86" fillId="39" fontId="25" numFmtId="0" xfId="0" applyAlignment="1" applyBorder="1" applyFont="1">
      <alignment readingOrder="0" shrinkToFit="0" vertical="bottom" wrapText="0"/>
    </xf>
    <xf borderId="79" fillId="39" fontId="25" numFmtId="0" xfId="0" applyAlignment="1" applyBorder="1" applyFont="1">
      <alignment readingOrder="0" shrinkToFit="0" vertical="bottom" wrapText="0"/>
    </xf>
    <xf borderId="79" fillId="39" fontId="25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16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min="3" max="4" width="12.71"/>
    <col customWidth="1" min="5" max="5" width="12.14"/>
    <col customWidth="1" min="6" max="6" width="12.29"/>
    <col customWidth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customHeight="1">
      <c r="A4" s="30" t="s">
        <v>19</v>
      </c>
      <c r="B4" s="31"/>
      <c r="C4" s="32">
        <f t="shared" ref="C4:E4" si="1">C35</f>
        <v>5093</v>
      </c>
      <c r="D4" s="33">
        <f t="shared" si="1"/>
        <v>5092</v>
      </c>
      <c r="E4" s="33">
        <f t="shared" si="1"/>
        <v>5034</v>
      </c>
      <c r="F4" s="34">
        <f>E4/C4</f>
        <v>0.9884154722</v>
      </c>
      <c r="G4" s="34">
        <f t="shared" ref="G4:G5" si="4">(H4/C4)</f>
        <v>0.01138817985</v>
      </c>
      <c r="H4" s="35">
        <f>SUM(I4:P4)</f>
        <v>58</v>
      </c>
      <c r="I4" s="32">
        <f t="shared" ref="I4:P4" si="2">I35</f>
        <v>32</v>
      </c>
      <c r="J4" s="33">
        <f t="shared" si="2"/>
        <v>17</v>
      </c>
      <c r="K4" s="33">
        <f t="shared" si="2"/>
        <v>0</v>
      </c>
      <c r="L4" s="33">
        <f t="shared" si="2"/>
        <v>3</v>
      </c>
      <c r="M4" s="33">
        <f t="shared" si="2"/>
        <v>1</v>
      </c>
      <c r="N4" s="33">
        <f t="shared" si="2"/>
        <v>0</v>
      </c>
      <c r="O4" s="33">
        <f t="shared" si="2"/>
        <v>5</v>
      </c>
      <c r="P4" s="36">
        <f t="shared" si="2"/>
        <v>0</v>
      </c>
      <c r="Q4" s="37"/>
      <c r="R4" s="38">
        <f>R35</f>
        <v>1</v>
      </c>
      <c r="S4" s="39"/>
      <c r="T4" s="40"/>
      <c r="U4" s="26"/>
      <c r="V4" s="41"/>
      <c r="W4" s="42" t="s">
        <v>20</v>
      </c>
      <c r="X4" s="43"/>
      <c r="Y4" s="44">
        <f>Y35</f>
        <v>0.3925925926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customHeight="1">
      <c r="A5" s="46" t="s">
        <v>21</v>
      </c>
      <c r="B5" s="6"/>
      <c r="C5" s="47">
        <f t="shared" ref="C5:E5" si="3">SUM(C4)</f>
        <v>5093</v>
      </c>
      <c r="D5" s="48">
        <f t="shared" si="3"/>
        <v>5092</v>
      </c>
      <c r="E5" s="48">
        <f t="shared" si="3"/>
        <v>5034</v>
      </c>
      <c r="F5" s="49">
        <f>(E5/C5)</f>
        <v>0.9884154722</v>
      </c>
      <c r="G5" s="49">
        <f t="shared" si="4"/>
        <v>0.01138817985</v>
      </c>
      <c r="H5" s="50">
        <f t="shared" ref="H5:P5" si="5">SUM(H4)</f>
        <v>58</v>
      </c>
      <c r="I5" s="47">
        <f t="shared" si="5"/>
        <v>32</v>
      </c>
      <c r="J5" s="48">
        <f t="shared" si="5"/>
        <v>17</v>
      </c>
      <c r="K5" s="48">
        <f t="shared" si="5"/>
        <v>0</v>
      </c>
      <c r="L5" s="48">
        <f t="shared" si="5"/>
        <v>3</v>
      </c>
      <c r="M5" s="48">
        <f t="shared" si="5"/>
        <v>1</v>
      </c>
      <c r="N5" s="48">
        <f t="shared" si="5"/>
        <v>0</v>
      </c>
      <c r="O5" s="48">
        <f t="shared" si="5"/>
        <v>5</v>
      </c>
      <c r="P5" s="51">
        <f t="shared" si="5"/>
        <v>0</v>
      </c>
      <c r="Q5" s="37"/>
      <c r="R5" s="52">
        <f>SUM(R4)</f>
        <v>1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0.5517241379</v>
      </c>
      <c r="J6" s="61">
        <f t="shared" si="6"/>
        <v>0.2931034483</v>
      </c>
      <c r="K6" s="61">
        <f t="shared" si="6"/>
        <v>0</v>
      </c>
      <c r="L6" s="61">
        <f t="shared" si="6"/>
        <v>0.05172413793</v>
      </c>
      <c r="M6" s="61">
        <f t="shared" si="6"/>
        <v>0.01724137931</v>
      </c>
      <c r="N6" s="61">
        <f t="shared" si="6"/>
        <v>0</v>
      </c>
      <c r="O6" s="61">
        <f t="shared" si="6"/>
        <v>0.08620689655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275.0</v>
      </c>
      <c r="D14" s="121">
        <f t="shared" ref="D14:D34" si="7">(C14-R14)</f>
        <v>275</v>
      </c>
      <c r="E14" s="122">
        <f t="shared" ref="E14:E34" si="8">(D14-H14)</f>
        <v>274</v>
      </c>
      <c r="F14" s="123">
        <f t="shared" ref="F14:F34" si="9">(C14-H14)/C14</f>
        <v>0.9963636364</v>
      </c>
      <c r="G14" s="123">
        <f t="shared" ref="G14:G34" si="10">(H14/C14)</f>
        <v>0.003636363636</v>
      </c>
      <c r="H14" s="124">
        <f t="shared" ref="H14:H34" si="11">SUM(I14:P14)</f>
        <v>1</v>
      </c>
      <c r="I14" s="125"/>
      <c r="J14" s="125"/>
      <c r="K14" s="126"/>
      <c r="L14" s="127"/>
      <c r="M14" s="128"/>
      <c r="N14" s="128"/>
      <c r="O14" s="129">
        <v>1.0</v>
      </c>
      <c r="P14" s="130"/>
      <c r="Q14" s="131"/>
      <c r="R14" s="130"/>
      <c r="S14" s="131"/>
      <c r="T14" s="132">
        <v>0.4930555555555556</v>
      </c>
      <c r="U14" s="132">
        <v>0.7763888888888889</v>
      </c>
      <c r="V14" s="133">
        <f t="shared" ref="V14:V34" si="12">U14-T14</f>
        <v>0.2833333333</v>
      </c>
      <c r="W14" s="132">
        <v>0.49027777777777776</v>
      </c>
      <c r="X14" s="132">
        <v>0.8888888888888888</v>
      </c>
      <c r="Y14" s="133">
        <f t="shared" ref="Y14:Y34" si="13">X14-W14</f>
        <v>0.3986111111</v>
      </c>
      <c r="Z14" s="134"/>
      <c r="AA14" s="135"/>
      <c r="AB14" s="126"/>
      <c r="AC14" s="136"/>
      <c r="AD14" s="136"/>
      <c r="AE14" s="137"/>
      <c r="AF14" s="137"/>
      <c r="AG14" s="127"/>
      <c r="AH14" s="138"/>
      <c r="AI14" s="138"/>
      <c r="AJ14" s="138"/>
      <c r="AK14" s="138"/>
    </row>
    <row r="15">
      <c r="A15" s="118" t="s">
        <v>56</v>
      </c>
      <c r="B15" s="119" t="s">
        <v>57</v>
      </c>
      <c r="C15" s="120">
        <v>236.0</v>
      </c>
      <c r="D15" s="121">
        <f t="shared" si="7"/>
        <v>236</v>
      </c>
      <c r="E15" s="122">
        <f t="shared" si="8"/>
        <v>236</v>
      </c>
      <c r="F15" s="123">
        <f t="shared" si="9"/>
        <v>1</v>
      </c>
      <c r="G15" s="123">
        <f t="shared" si="10"/>
        <v>0</v>
      </c>
      <c r="H15" s="124">
        <f t="shared" si="11"/>
        <v>0</v>
      </c>
      <c r="I15" s="125"/>
      <c r="J15" s="125"/>
      <c r="K15" s="139"/>
      <c r="L15" s="127"/>
      <c r="M15" s="140"/>
      <c r="N15" s="128"/>
      <c r="O15" s="130"/>
      <c r="P15" s="130"/>
      <c r="Q15" s="131"/>
      <c r="R15" s="130"/>
      <c r="S15" s="131"/>
      <c r="T15" s="132">
        <v>0.4930555555555556</v>
      </c>
      <c r="U15" s="132">
        <v>0.8430555555555556</v>
      </c>
      <c r="V15" s="133">
        <f t="shared" si="12"/>
        <v>0.35</v>
      </c>
      <c r="W15" s="132">
        <v>0.49027777777777776</v>
      </c>
      <c r="X15" s="132">
        <v>0.8715277777777778</v>
      </c>
      <c r="Y15" s="133">
        <f t="shared" si="13"/>
        <v>0.38125</v>
      </c>
      <c r="Z15" s="134"/>
      <c r="AA15" s="135"/>
      <c r="AB15" s="126"/>
      <c r="AC15" s="136"/>
      <c r="AD15" s="136"/>
      <c r="AE15" s="137"/>
      <c r="AF15" s="137"/>
      <c r="AG15" s="127"/>
      <c r="AH15" s="138"/>
      <c r="AI15" s="138"/>
      <c r="AJ15" s="138"/>
      <c r="AK15" s="138"/>
    </row>
    <row r="16" ht="14.25" customHeight="1">
      <c r="A16" s="118" t="s">
        <v>58</v>
      </c>
      <c r="B16" s="119" t="s">
        <v>59</v>
      </c>
      <c r="C16" s="120">
        <v>288.0</v>
      </c>
      <c r="D16" s="121">
        <f t="shared" si="7"/>
        <v>288</v>
      </c>
      <c r="E16" s="122">
        <f t="shared" si="8"/>
        <v>287</v>
      </c>
      <c r="F16" s="123">
        <f t="shared" si="9"/>
        <v>0.9965277778</v>
      </c>
      <c r="G16" s="123">
        <f t="shared" si="10"/>
        <v>0.003472222222</v>
      </c>
      <c r="H16" s="124">
        <f t="shared" si="11"/>
        <v>1</v>
      </c>
      <c r="I16" s="125"/>
      <c r="J16" s="125"/>
      <c r="K16" s="139"/>
      <c r="L16" s="127"/>
      <c r="M16" s="128"/>
      <c r="N16" s="128"/>
      <c r="O16" s="129">
        <v>1.0</v>
      </c>
      <c r="P16" s="130"/>
      <c r="Q16" s="131"/>
      <c r="R16" s="130"/>
      <c r="S16" s="131"/>
      <c r="T16" s="132">
        <v>0.4930555555555556</v>
      </c>
      <c r="U16" s="132">
        <v>0.7520833333333333</v>
      </c>
      <c r="V16" s="133">
        <f t="shared" si="12"/>
        <v>0.2590277778</v>
      </c>
      <c r="W16" s="132">
        <v>0.49027777777777776</v>
      </c>
      <c r="X16" s="132">
        <v>0.875</v>
      </c>
      <c r="Y16" s="133">
        <f t="shared" si="13"/>
        <v>0.3847222222</v>
      </c>
      <c r="Z16" s="134"/>
      <c r="AA16" s="135"/>
      <c r="AB16" s="126"/>
      <c r="AC16" s="136"/>
      <c r="AD16" s="136"/>
      <c r="AE16" s="137"/>
      <c r="AF16" s="137"/>
      <c r="AG16" s="127"/>
      <c r="AH16" s="138"/>
      <c r="AI16" s="138"/>
      <c r="AJ16" s="138"/>
      <c r="AK16" s="138"/>
    </row>
    <row r="17" ht="14.25" customHeight="1">
      <c r="A17" s="118" t="s">
        <v>60</v>
      </c>
      <c r="B17" s="119" t="s">
        <v>61</v>
      </c>
      <c r="C17" s="120">
        <v>202.0</v>
      </c>
      <c r="D17" s="121">
        <f t="shared" si="7"/>
        <v>202</v>
      </c>
      <c r="E17" s="122">
        <f t="shared" si="8"/>
        <v>201</v>
      </c>
      <c r="F17" s="123">
        <f t="shared" si="9"/>
        <v>0.995049505</v>
      </c>
      <c r="G17" s="123">
        <f t="shared" si="10"/>
        <v>0.00495049505</v>
      </c>
      <c r="H17" s="124">
        <f t="shared" si="11"/>
        <v>1</v>
      </c>
      <c r="I17" s="125"/>
      <c r="J17" s="125"/>
      <c r="K17" s="139"/>
      <c r="L17" s="127"/>
      <c r="M17" s="128"/>
      <c r="N17" s="128"/>
      <c r="O17" s="129">
        <v>1.0</v>
      </c>
      <c r="P17" s="130"/>
      <c r="Q17" s="131"/>
      <c r="R17" s="130"/>
      <c r="S17" s="131"/>
      <c r="T17" s="132">
        <v>0.4930555555555556</v>
      </c>
      <c r="U17" s="132">
        <v>0.8354166666666667</v>
      </c>
      <c r="V17" s="133">
        <f t="shared" si="12"/>
        <v>0.3423611111</v>
      </c>
      <c r="W17" s="132">
        <v>0.49027777777777776</v>
      </c>
      <c r="X17" s="132">
        <v>0.8888888888888888</v>
      </c>
      <c r="Y17" s="133">
        <f t="shared" si="13"/>
        <v>0.3986111111</v>
      </c>
      <c r="Z17" s="134"/>
      <c r="AA17" s="135"/>
      <c r="AB17" s="126"/>
      <c r="AC17" s="136"/>
      <c r="AD17" s="136"/>
      <c r="AE17" s="137"/>
      <c r="AF17" s="137"/>
      <c r="AG17" s="127"/>
      <c r="AH17" s="138"/>
      <c r="AI17" s="138"/>
      <c r="AJ17" s="138"/>
      <c r="AK17" s="138"/>
    </row>
    <row r="18" ht="14.25" customHeight="1">
      <c r="A18" s="118" t="s">
        <v>62</v>
      </c>
      <c r="B18" s="119" t="s">
        <v>63</v>
      </c>
      <c r="C18" s="120">
        <v>190.0</v>
      </c>
      <c r="D18" s="121">
        <f t="shared" si="7"/>
        <v>190</v>
      </c>
      <c r="E18" s="122">
        <f t="shared" si="8"/>
        <v>189</v>
      </c>
      <c r="F18" s="123">
        <f t="shared" si="9"/>
        <v>0.9947368421</v>
      </c>
      <c r="G18" s="123">
        <f t="shared" si="10"/>
        <v>0.005263157895</v>
      </c>
      <c r="H18" s="124">
        <f t="shared" si="11"/>
        <v>1</v>
      </c>
      <c r="I18" s="125">
        <v>1.0</v>
      </c>
      <c r="J18" s="125"/>
      <c r="K18" s="139"/>
      <c r="L18" s="127"/>
      <c r="M18" s="128"/>
      <c r="N18" s="128"/>
      <c r="O18" s="130"/>
      <c r="P18" s="130"/>
      <c r="Q18" s="131"/>
      <c r="R18" s="130"/>
      <c r="S18" s="131"/>
      <c r="T18" s="132">
        <v>0.4930555555555556</v>
      </c>
      <c r="U18" s="132">
        <v>0.8458333333333333</v>
      </c>
      <c r="V18" s="133">
        <f t="shared" si="12"/>
        <v>0.3527777778</v>
      </c>
      <c r="W18" s="132">
        <v>0.49027777777777776</v>
      </c>
      <c r="X18" s="132">
        <v>0.8854166666666666</v>
      </c>
      <c r="Y18" s="133">
        <f t="shared" si="13"/>
        <v>0.3951388889</v>
      </c>
      <c r="Z18" s="134"/>
      <c r="AA18" s="135"/>
      <c r="AB18" s="126"/>
      <c r="AC18" s="136"/>
      <c r="AD18" s="136"/>
      <c r="AE18" s="137"/>
      <c r="AF18" s="137"/>
      <c r="AG18" s="127"/>
      <c r="AH18" s="138"/>
      <c r="AI18" s="138"/>
      <c r="AJ18" s="138"/>
      <c r="AK18" s="138"/>
    </row>
    <row r="19" ht="14.25" customHeight="1">
      <c r="A19" s="118" t="s">
        <v>64</v>
      </c>
      <c r="B19" s="119" t="s">
        <v>65</v>
      </c>
      <c r="C19" s="120">
        <v>220.0</v>
      </c>
      <c r="D19" s="121">
        <f t="shared" si="7"/>
        <v>220</v>
      </c>
      <c r="E19" s="122">
        <f t="shared" si="8"/>
        <v>217</v>
      </c>
      <c r="F19" s="123">
        <f t="shared" si="9"/>
        <v>0.9863636364</v>
      </c>
      <c r="G19" s="123">
        <f t="shared" si="10"/>
        <v>0.01363636364</v>
      </c>
      <c r="H19" s="124">
        <f t="shared" si="11"/>
        <v>3</v>
      </c>
      <c r="I19" s="125">
        <v>3.0</v>
      </c>
      <c r="J19" s="125"/>
      <c r="K19" s="139"/>
      <c r="L19" s="127"/>
      <c r="M19" s="128"/>
      <c r="N19" s="128"/>
      <c r="O19" s="130"/>
      <c r="P19" s="130"/>
      <c r="Q19" s="131"/>
      <c r="R19" s="130"/>
      <c r="S19" s="131"/>
      <c r="T19" s="132">
        <v>0.4930555555555556</v>
      </c>
      <c r="U19" s="132">
        <v>0.8479166666666667</v>
      </c>
      <c r="V19" s="133">
        <f t="shared" si="12"/>
        <v>0.3548611111</v>
      </c>
      <c r="W19" s="132">
        <v>0.49027777777777776</v>
      </c>
      <c r="X19" s="132">
        <v>0.8888888888888888</v>
      </c>
      <c r="Y19" s="133">
        <f t="shared" si="13"/>
        <v>0.3986111111</v>
      </c>
      <c r="Z19" s="134"/>
      <c r="AA19" s="135"/>
      <c r="AB19" s="126"/>
      <c r="AC19" s="136"/>
      <c r="AD19" s="136"/>
      <c r="AE19" s="137"/>
      <c r="AF19" s="137"/>
      <c r="AG19" s="127"/>
      <c r="AH19" s="138"/>
      <c r="AI19" s="138"/>
      <c r="AJ19" s="138"/>
      <c r="AK19" s="138"/>
    </row>
    <row r="20" ht="14.25" customHeight="1">
      <c r="A20" s="118" t="s">
        <v>66</v>
      </c>
      <c r="B20" s="119" t="s">
        <v>67</v>
      </c>
      <c r="C20" s="120">
        <v>210.0</v>
      </c>
      <c r="D20" s="121">
        <f t="shared" si="7"/>
        <v>210</v>
      </c>
      <c r="E20" s="122">
        <f t="shared" si="8"/>
        <v>200</v>
      </c>
      <c r="F20" s="123">
        <f t="shared" si="9"/>
        <v>0.9523809524</v>
      </c>
      <c r="G20" s="123">
        <f t="shared" si="10"/>
        <v>0.04761904762</v>
      </c>
      <c r="H20" s="124">
        <f t="shared" si="11"/>
        <v>10</v>
      </c>
      <c r="I20" s="125">
        <v>9.0</v>
      </c>
      <c r="J20" s="125"/>
      <c r="K20" s="139"/>
      <c r="L20" s="127"/>
      <c r="M20" s="128"/>
      <c r="N20" s="128"/>
      <c r="O20" s="129">
        <v>1.0</v>
      </c>
      <c r="P20" s="130"/>
      <c r="Q20" s="131"/>
      <c r="R20" s="130"/>
      <c r="S20" s="131"/>
      <c r="T20" s="132">
        <v>0.4930555555555556</v>
      </c>
      <c r="U20" s="132">
        <v>0.8430555555555556</v>
      </c>
      <c r="V20" s="133">
        <f t="shared" si="12"/>
        <v>0.35</v>
      </c>
      <c r="W20" s="132">
        <v>0.49027777777777776</v>
      </c>
      <c r="X20" s="132">
        <v>0.9548611111111112</v>
      </c>
      <c r="Y20" s="133">
        <f t="shared" si="13"/>
        <v>0.4645833333</v>
      </c>
      <c r="Z20" s="134"/>
      <c r="AA20" s="135"/>
      <c r="AB20" s="126"/>
      <c r="AC20" s="136"/>
      <c r="AD20" s="136"/>
      <c r="AE20" s="137"/>
      <c r="AF20" s="137"/>
      <c r="AG20" s="127"/>
      <c r="AH20" s="138"/>
      <c r="AI20" s="138"/>
      <c r="AJ20" s="138"/>
      <c r="AK20" s="138"/>
    </row>
    <row r="21" ht="14.25" customHeight="1">
      <c r="A21" s="118" t="s">
        <v>68</v>
      </c>
      <c r="B21" s="119" t="s">
        <v>69</v>
      </c>
      <c r="C21" s="120">
        <v>261.0</v>
      </c>
      <c r="D21" s="121">
        <f t="shared" si="7"/>
        <v>261</v>
      </c>
      <c r="E21" s="122">
        <f t="shared" si="8"/>
        <v>260</v>
      </c>
      <c r="F21" s="123">
        <f t="shared" si="9"/>
        <v>0.9961685824</v>
      </c>
      <c r="G21" s="123">
        <f t="shared" si="10"/>
        <v>0.003831417625</v>
      </c>
      <c r="H21" s="124">
        <f t="shared" si="11"/>
        <v>1</v>
      </c>
      <c r="I21" s="125"/>
      <c r="J21" s="125">
        <v>1.0</v>
      </c>
      <c r="K21" s="139"/>
      <c r="L21" s="127"/>
      <c r="M21" s="128"/>
      <c r="N21" s="128"/>
      <c r="O21" s="130"/>
      <c r="P21" s="130"/>
      <c r="Q21" s="131"/>
      <c r="R21" s="130"/>
      <c r="S21" s="131"/>
      <c r="T21" s="132">
        <v>0.4930555555555556</v>
      </c>
      <c r="U21" s="132">
        <v>0.7368055555555556</v>
      </c>
      <c r="V21" s="133">
        <f t="shared" si="12"/>
        <v>0.24375</v>
      </c>
      <c r="W21" s="132">
        <v>0.49027777777777776</v>
      </c>
      <c r="X21" s="132">
        <v>0.875</v>
      </c>
      <c r="Y21" s="133">
        <f t="shared" si="13"/>
        <v>0.3847222222</v>
      </c>
      <c r="Z21" s="134"/>
      <c r="AA21" s="135"/>
      <c r="AB21" s="126"/>
      <c r="AC21" s="136"/>
      <c r="AD21" s="136"/>
      <c r="AE21" s="137"/>
      <c r="AF21" s="137"/>
      <c r="AG21" s="127"/>
      <c r="AH21" s="138"/>
      <c r="AI21" s="138"/>
      <c r="AJ21" s="138"/>
      <c r="AK21" s="138"/>
    </row>
    <row r="22" ht="14.25" customHeight="1">
      <c r="A22" s="118" t="s">
        <v>70</v>
      </c>
      <c r="B22" s="119" t="s">
        <v>71</v>
      </c>
      <c r="C22" s="120">
        <v>265.0</v>
      </c>
      <c r="D22" s="121">
        <f t="shared" si="7"/>
        <v>265</v>
      </c>
      <c r="E22" s="122">
        <f t="shared" si="8"/>
        <v>262</v>
      </c>
      <c r="F22" s="123">
        <f t="shared" si="9"/>
        <v>0.9886792453</v>
      </c>
      <c r="G22" s="123">
        <f t="shared" si="10"/>
        <v>0.01132075472</v>
      </c>
      <c r="H22" s="124">
        <f t="shared" si="11"/>
        <v>3</v>
      </c>
      <c r="I22" s="125"/>
      <c r="J22" s="125">
        <v>3.0</v>
      </c>
      <c r="K22" s="139"/>
      <c r="L22" s="127"/>
      <c r="M22" s="128"/>
      <c r="N22" s="128"/>
      <c r="O22" s="130"/>
      <c r="P22" s="130"/>
      <c r="Q22" s="131"/>
      <c r="R22" s="130"/>
      <c r="S22" s="131"/>
      <c r="T22" s="132">
        <v>0.4930555555555556</v>
      </c>
      <c r="U22" s="132">
        <v>0.7972222222222223</v>
      </c>
      <c r="V22" s="133">
        <f t="shared" si="12"/>
        <v>0.3041666667</v>
      </c>
      <c r="W22" s="132">
        <v>0.49027777777777776</v>
      </c>
      <c r="X22" s="132">
        <v>0.8854166666666666</v>
      </c>
      <c r="Y22" s="133">
        <f t="shared" si="13"/>
        <v>0.3951388889</v>
      </c>
      <c r="Z22" s="134"/>
      <c r="AA22" s="135"/>
      <c r="AB22" s="126"/>
      <c r="AC22" s="136"/>
      <c r="AD22" s="136"/>
      <c r="AE22" s="137"/>
      <c r="AF22" s="137"/>
      <c r="AG22" s="127"/>
      <c r="AH22" s="138"/>
      <c r="AI22" s="138"/>
      <c r="AJ22" s="138"/>
      <c r="AK22" s="138"/>
    </row>
    <row r="23" ht="14.25" customHeight="1">
      <c r="A23" s="118" t="s">
        <v>72</v>
      </c>
      <c r="B23" s="119" t="s">
        <v>73</v>
      </c>
      <c r="C23" s="120">
        <v>258.0</v>
      </c>
      <c r="D23" s="121">
        <f t="shared" si="7"/>
        <v>258</v>
      </c>
      <c r="E23" s="122">
        <f t="shared" si="8"/>
        <v>258</v>
      </c>
      <c r="F23" s="123">
        <f t="shared" si="9"/>
        <v>1</v>
      </c>
      <c r="G23" s="123">
        <f t="shared" si="10"/>
        <v>0</v>
      </c>
      <c r="H23" s="124">
        <f t="shared" si="11"/>
        <v>0</v>
      </c>
      <c r="I23" s="125"/>
      <c r="J23" s="125"/>
      <c r="K23" s="139"/>
      <c r="L23" s="127"/>
      <c r="M23" s="128"/>
      <c r="N23" s="128"/>
      <c r="O23" s="130"/>
      <c r="P23" s="130"/>
      <c r="Q23" s="131"/>
      <c r="R23" s="130"/>
      <c r="S23" s="131"/>
      <c r="T23" s="132">
        <v>0.4930555555555556</v>
      </c>
      <c r="U23" s="132">
        <v>0.8076388888888889</v>
      </c>
      <c r="V23" s="133">
        <f t="shared" si="12"/>
        <v>0.3145833333</v>
      </c>
      <c r="W23" s="132">
        <v>0.49027777777777776</v>
      </c>
      <c r="X23" s="132">
        <v>0.8854166666666666</v>
      </c>
      <c r="Y23" s="133">
        <f t="shared" si="13"/>
        <v>0.3951388889</v>
      </c>
      <c r="Z23" s="134"/>
      <c r="AA23" s="135"/>
      <c r="AB23" s="126"/>
      <c r="AC23" s="136"/>
      <c r="AD23" s="136"/>
      <c r="AE23" s="137"/>
      <c r="AF23" s="137"/>
      <c r="AG23" s="127"/>
      <c r="AH23" s="138"/>
      <c r="AI23" s="138"/>
      <c r="AJ23" s="138"/>
      <c r="AK23" s="138"/>
    </row>
    <row r="24" ht="14.25" customHeight="1">
      <c r="A24" s="118" t="s">
        <v>74</v>
      </c>
      <c r="B24" s="119" t="s">
        <v>75</v>
      </c>
      <c r="C24" s="120">
        <v>260.0</v>
      </c>
      <c r="D24" s="121">
        <f t="shared" si="7"/>
        <v>260</v>
      </c>
      <c r="E24" s="122">
        <f t="shared" si="8"/>
        <v>255</v>
      </c>
      <c r="F24" s="123">
        <f t="shared" si="9"/>
        <v>0.9807692308</v>
      </c>
      <c r="G24" s="123">
        <f t="shared" si="10"/>
        <v>0.01923076923</v>
      </c>
      <c r="H24" s="124">
        <f t="shared" si="11"/>
        <v>5</v>
      </c>
      <c r="I24" s="125"/>
      <c r="J24" s="125">
        <v>5.0</v>
      </c>
      <c r="K24" s="126"/>
      <c r="L24" s="127"/>
      <c r="M24" s="128"/>
      <c r="N24" s="128"/>
      <c r="O24" s="129"/>
      <c r="P24" s="130"/>
      <c r="Q24" s="131"/>
      <c r="R24" s="130"/>
      <c r="S24" s="131"/>
      <c r="T24" s="132">
        <v>0.4930555555555556</v>
      </c>
      <c r="U24" s="132">
        <v>0.8048611111111111</v>
      </c>
      <c r="V24" s="133">
        <f t="shared" si="12"/>
        <v>0.3118055556</v>
      </c>
      <c r="W24" s="132">
        <v>0.49027777777777776</v>
      </c>
      <c r="X24" s="132">
        <v>0.8854166666666666</v>
      </c>
      <c r="Y24" s="133">
        <f t="shared" si="13"/>
        <v>0.3951388889</v>
      </c>
      <c r="Z24" s="134"/>
      <c r="AA24" s="135"/>
      <c r="AB24" s="126"/>
      <c r="AC24" s="136"/>
      <c r="AD24" s="136"/>
      <c r="AE24" s="137"/>
      <c r="AF24" s="137"/>
      <c r="AG24" s="127"/>
      <c r="AH24" s="138"/>
      <c r="AI24" s="138"/>
      <c r="AJ24" s="138"/>
      <c r="AK24" s="138"/>
    </row>
    <row r="25" ht="14.25" customHeight="1">
      <c r="A25" s="118" t="s">
        <v>76</v>
      </c>
      <c r="B25" s="119" t="s">
        <v>77</v>
      </c>
      <c r="C25" s="120">
        <v>301.0</v>
      </c>
      <c r="D25" s="121">
        <f t="shared" si="7"/>
        <v>301</v>
      </c>
      <c r="E25" s="122">
        <f t="shared" si="8"/>
        <v>301</v>
      </c>
      <c r="F25" s="123">
        <f t="shared" si="9"/>
        <v>1</v>
      </c>
      <c r="G25" s="123">
        <f t="shared" si="10"/>
        <v>0</v>
      </c>
      <c r="H25" s="124">
        <f t="shared" si="11"/>
        <v>0</v>
      </c>
      <c r="I25" s="125"/>
      <c r="J25" s="125"/>
      <c r="K25" s="139"/>
      <c r="L25" s="127"/>
      <c r="M25" s="128"/>
      <c r="N25" s="128"/>
      <c r="O25" s="130"/>
      <c r="P25" s="130"/>
      <c r="Q25" s="131"/>
      <c r="R25" s="130"/>
      <c r="S25" s="131"/>
      <c r="T25" s="132">
        <v>0.4965277777777778</v>
      </c>
      <c r="U25" s="132">
        <v>0.7618055555555555</v>
      </c>
      <c r="V25" s="133">
        <f t="shared" si="12"/>
        <v>0.2652777778</v>
      </c>
      <c r="W25" s="132">
        <v>0.49166666666666664</v>
      </c>
      <c r="X25" s="132">
        <v>0.8680555555555556</v>
      </c>
      <c r="Y25" s="133">
        <f t="shared" si="13"/>
        <v>0.3763888889</v>
      </c>
      <c r="Z25" s="134"/>
      <c r="AA25" s="135"/>
      <c r="AB25" s="126"/>
      <c r="AC25" s="136"/>
      <c r="AD25" s="136"/>
      <c r="AE25" s="137"/>
      <c r="AF25" s="137"/>
      <c r="AG25" s="127"/>
      <c r="AH25" s="138"/>
      <c r="AI25" s="138"/>
      <c r="AJ25" s="138"/>
      <c r="AK25" s="138"/>
    </row>
    <row r="26" ht="14.25" customHeight="1">
      <c r="A26" s="118" t="s">
        <v>78</v>
      </c>
      <c r="B26" s="119" t="s">
        <v>79</v>
      </c>
      <c r="C26" s="120">
        <v>230.0</v>
      </c>
      <c r="D26" s="121">
        <f t="shared" si="7"/>
        <v>230</v>
      </c>
      <c r="E26" s="122">
        <f t="shared" si="8"/>
        <v>229</v>
      </c>
      <c r="F26" s="123">
        <f t="shared" si="9"/>
        <v>0.9956521739</v>
      </c>
      <c r="G26" s="123">
        <f t="shared" si="10"/>
        <v>0.004347826087</v>
      </c>
      <c r="H26" s="124">
        <f t="shared" si="11"/>
        <v>1</v>
      </c>
      <c r="I26" s="125">
        <v>1.0</v>
      </c>
      <c r="J26" s="125"/>
      <c r="K26" s="139"/>
      <c r="L26" s="127"/>
      <c r="M26" s="128"/>
      <c r="N26" s="128"/>
      <c r="O26" s="130"/>
      <c r="P26" s="130"/>
      <c r="Q26" s="131"/>
      <c r="R26" s="130"/>
      <c r="S26" s="131"/>
      <c r="T26" s="132">
        <v>0.4965277777777778</v>
      </c>
      <c r="U26" s="132">
        <v>0.8520833333333333</v>
      </c>
      <c r="V26" s="133">
        <f t="shared" si="12"/>
        <v>0.3555555556</v>
      </c>
      <c r="W26" s="132">
        <v>0.49166666666666664</v>
      </c>
      <c r="X26" s="132">
        <v>0.9236111111111112</v>
      </c>
      <c r="Y26" s="133">
        <f t="shared" si="13"/>
        <v>0.4319444444</v>
      </c>
      <c r="Z26" s="134"/>
      <c r="AA26" s="135"/>
      <c r="AB26" s="126"/>
      <c r="AC26" s="136"/>
      <c r="AD26" s="136"/>
      <c r="AE26" s="137"/>
      <c r="AF26" s="137"/>
      <c r="AG26" s="127"/>
      <c r="AH26" s="138"/>
      <c r="AI26" s="138"/>
      <c r="AJ26" s="138"/>
      <c r="AK26" s="138"/>
    </row>
    <row r="27" ht="14.25" customHeight="1">
      <c r="A27" s="118" t="s">
        <v>80</v>
      </c>
      <c r="B27" s="119" t="s">
        <v>81</v>
      </c>
      <c r="C27" s="120">
        <v>243.0</v>
      </c>
      <c r="D27" s="121">
        <f t="shared" si="7"/>
        <v>243</v>
      </c>
      <c r="E27" s="122">
        <f t="shared" si="8"/>
        <v>230</v>
      </c>
      <c r="F27" s="123">
        <f t="shared" si="9"/>
        <v>0.9465020576</v>
      </c>
      <c r="G27" s="123">
        <f t="shared" si="10"/>
        <v>0.05349794239</v>
      </c>
      <c r="H27" s="124">
        <f t="shared" si="11"/>
        <v>13</v>
      </c>
      <c r="I27" s="125">
        <v>12.0</v>
      </c>
      <c r="J27" s="125">
        <v>1.0</v>
      </c>
      <c r="K27" s="139"/>
      <c r="L27" s="127"/>
      <c r="M27" s="128"/>
      <c r="N27" s="128"/>
      <c r="O27" s="130"/>
      <c r="P27" s="130"/>
      <c r="Q27" s="131"/>
      <c r="R27" s="130"/>
      <c r="S27" s="131"/>
      <c r="T27" s="132">
        <v>0.4965277777777778</v>
      </c>
      <c r="U27" s="132">
        <v>0.8243055555555555</v>
      </c>
      <c r="V27" s="133">
        <f t="shared" si="12"/>
        <v>0.3277777778</v>
      </c>
      <c r="W27" s="132">
        <v>0.49166666666666664</v>
      </c>
      <c r="X27" s="132">
        <v>0.9097222222222222</v>
      </c>
      <c r="Y27" s="133">
        <f t="shared" si="13"/>
        <v>0.4180555556</v>
      </c>
      <c r="Z27" s="134"/>
      <c r="AA27" s="135"/>
      <c r="AB27" s="126"/>
      <c r="AC27" s="136"/>
      <c r="AD27" s="136"/>
      <c r="AE27" s="137"/>
      <c r="AF27" s="137"/>
      <c r="AG27" s="127"/>
      <c r="AH27" s="138"/>
      <c r="AI27" s="138"/>
      <c r="AJ27" s="138"/>
      <c r="AK27" s="138"/>
    </row>
    <row r="28" ht="14.25" customHeight="1">
      <c r="A28" s="118" t="s">
        <v>82</v>
      </c>
      <c r="B28" s="119" t="s">
        <v>83</v>
      </c>
      <c r="C28" s="120">
        <v>254.0</v>
      </c>
      <c r="D28" s="121">
        <f t="shared" si="7"/>
        <v>254</v>
      </c>
      <c r="E28" s="122">
        <f t="shared" si="8"/>
        <v>252</v>
      </c>
      <c r="F28" s="123">
        <f t="shared" si="9"/>
        <v>0.9921259843</v>
      </c>
      <c r="G28" s="123">
        <f t="shared" si="10"/>
        <v>0.007874015748</v>
      </c>
      <c r="H28" s="124">
        <f t="shared" si="11"/>
        <v>2</v>
      </c>
      <c r="I28" s="125">
        <v>1.0</v>
      </c>
      <c r="J28" s="125">
        <v>1.0</v>
      </c>
      <c r="K28" s="126"/>
      <c r="L28" s="127"/>
      <c r="M28" s="128"/>
      <c r="N28" s="128"/>
      <c r="O28" s="130"/>
      <c r="P28" s="130"/>
      <c r="Q28" s="131"/>
      <c r="R28" s="130"/>
      <c r="S28" s="131"/>
      <c r="T28" s="132">
        <v>0.4965277777777778</v>
      </c>
      <c r="U28" s="132">
        <v>0.8</v>
      </c>
      <c r="V28" s="133">
        <f t="shared" si="12"/>
        <v>0.3034722222</v>
      </c>
      <c r="W28" s="132">
        <v>0.49166666666666664</v>
      </c>
      <c r="X28" s="132">
        <v>0.8680555555555556</v>
      </c>
      <c r="Y28" s="133">
        <f t="shared" si="13"/>
        <v>0.3763888889</v>
      </c>
      <c r="Z28" s="134"/>
      <c r="AA28" s="135"/>
      <c r="AB28" s="126"/>
      <c r="AC28" s="136"/>
      <c r="AD28" s="136"/>
      <c r="AE28" s="137"/>
      <c r="AF28" s="137"/>
      <c r="AG28" s="127"/>
      <c r="AH28" s="138"/>
      <c r="AI28" s="138"/>
      <c r="AJ28" s="138"/>
      <c r="AK28" s="138"/>
    </row>
    <row r="29" ht="14.25" customHeight="1">
      <c r="A29" s="118" t="s">
        <v>84</v>
      </c>
      <c r="B29" s="119" t="s">
        <v>85</v>
      </c>
      <c r="C29" s="120">
        <v>237.0</v>
      </c>
      <c r="D29" s="121">
        <f t="shared" si="7"/>
        <v>237</v>
      </c>
      <c r="E29" s="122">
        <f t="shared" si="8"/>
        <v>228</v>
      </c>
      <c r="F29" s="123">
        <f t="shared" si="9"/>
        <v>0.9620253165</v>
      </c>
      <c r="G29" s="123">
        <f t="shared" si="10"/>
        <v>0.03797468354</v>
      </c>
      <c r="H29" s="124">
        <f t="shared" si="11"/>
        <v>9</v>
      </c>
      <c r="I29" s="125">
        <v>3.0</v>
      </c>
      <c r="J29" s="125">
        <v>4.0</v>
      </c>
      <c r="K29" s="139"/>
      <c r="L29" s="141">
        <v>2.0</v>
      </c>
      <c r="M29" s="128"/>
      <c r="N29" s="128"/>
      <c r="O29" s="130"/>
      <c r="P29" s="130"/>
      <c r="Q29" s="131"/>
      <c r="R29" s="130"/>
      <c r="S29" s="131"/>
      <c r="T29" s="132">
        <v>0.4965277777777778</v>
      </c>
      <c r="U29" s="132">
        <v>0.8277777777777777</v>
      </c>
      <c r="V29" s="133">
        <f t="shared" si="12"/>
        <v>0.33125</v>
      </c>
      <c r="W29" s="132">
        <v>0.49166666666666664</v>
      </c>
      <c r="X29" s="132">
        <v>0.8819444444444444</v>
      </c>
      <c r="Y29" s="133">
        <f t="shared" si="13"/>
        <v>0.3902777778</v>
      </c>
      <c r="Z29" s="134"/>
      <c r="AA29" s="135"/>
      <c r="AB29" s="126"/>
      <c r="AC29" s="136"/>
      <c r="AD29" s="136"/>
      <c r="AE29" s="137"/>
      <c r="AF29" s="137"/>
      <c r="AG29" s="127"/>
      <c r="AH29" s="138"/>
      <c r="AI29" s="138"/>
      <c r="AJ29" s="138"/>
      <c r="AK29" s="138"/>
    </row>
    <row r="30" ht="14.25" customHeight="1">
      <c r="A30" s="118" t="s">
        <v>86</v>
      </c>
      <c r="B30" s="119" t="s">
        <v>87</v>
      </c>
      <c r="C30" s="120">
        <v>273.0</v>
      </c>
      <c r="D30" s="121">
        <f t="shared" si="7"/>
        <v>273</v>
      </c>
      <c r="E30" s="122">
        <f t="shared" si="8"/>
        <v>271</v>
      </c>
      <c r="F30" s="123">
        <f t="shared" si="9"/>
        <v>0.9926739927</v>
      </c>
      <c r="G30" s="123">
        <f t="shared" si="10"/>
        <v>0.007326007326</v>
      </c>
      <c r="H30" s="124">
        <f t="shared" si="11"/>
        <v>2</v>
      </c>
      <c r="I30" s="125">
        <v>1.0</v>
      </c>
      <c r="J30" s="125"/>
      <c r="K30" s="139"/>
      <c r="L30" s="127"/>
      <c r="M30" s="128"/>
      <c r="N30" s="128"/>
      <c r="O30" s="129">
        <v>1.0</v>
      </c>
      <c r="P30" s="130"/>
      <c r="Q30" s="131"/>
      <c r="R30" s="130"/>
      <c r="S30" s="131"/>
      <c r="T30" s="132">
        <v>0.4965277777777778</v>
      </c>
      <c r="U30" s="132">
        <v>0.7916666666666666</v>
      </c>
      <c r="V30" s="133">
        <f t="shared" si="12"/>
        <v>0.2951388889</v>
      </c>
      <c r="W30" s="132">
        <v>0.49166666666666664</v>
      </c>
      <c r="X30" s="132">
        <v>0.8854166666666666</v>
      </c>
      <c r="Y30" s="133">
        <f t="shared" si="13"/>
        <v>0.39375</v>
      </c>
      <c r="Z30" s="134"/>
      <c r="AA30" s="135"/>
      <c r="AB30" s="126"/>
      <c r="AC30" s="136"/>
      <c r="AD30" s="136"/>
      <c r="AE30" s="137"/>
      <c r="AF30" s="137"/>
      <c r="AG30" s="127"/>
      <c r="AH30" s="138"/>
      <c r="AI30" s="138"/>
      <c r="AJ30" s="138"/>
      <c r="AK30" s="138"/>
    </row>
    <row r="31" ht="14.25" customHeight="1">
      <c r="A31" s="118" t="s">
        <v>88</v>
      </c>
      <c r="B31" s="119" t="s">
        <v>89</v>
      </c>
      <c r="C31" s="120">
        <v>268.0</v>
      </c>
      <c r="D31" s="121">
        <f t="shared" si="7"/>
        <v>268</v>
      </c>
      <c r="E31" s="122">
        <f t="shared" si="8"/>
        <v>268</v>
      </c>
      <c r="F31" s="123">
        <f t="shared" si="9"/>
        <v>1</v>
      </c>
      <c r="G31" s="123">
        <f t="shared" si="10"/>
        <v>0</v>
      </c>
      <c r="H31" s="124">
        <f t="shared" si="11"/>
        <v>0</v>
      </c>
      <c r="I31" s="125"/>
      <c r="J31" s="125"/>
      <c r="K31" s="126"/>
      <c r="L31" s="127"/>
      <c r="M31" s="128"/>
      <c r="N31" s="128"/>
      <c r="O31" s="130"/>
      <c r="P31" s="130"/>
      <c r="Q31" s="131"/>
      <c r="R31" s="130"/>
      <c r="S31" s="131"/>
      <c r="T31" s="132">
        <v>0.4965277777777778</v>
      </c>
      <c r="U31" s="132">
        <v>0.78125</v>
      </c>
      <c r="V31" s="133">
        <f t="shared" si="12"/>
        <v>0.2847222222</v>
      </c>
      <c r="W31" s="132">
        <v>0.49166666666666664</v>
      </c>
      <c r="X31" s="132">
        <v>0.8854166666666666</v>
      </c>
      <c r="Y31" s="133">
        <f t="shared" si="13"/>
        <v>0.39375</v>
      </c>
      <c r="Z31" s="134"/>
      <c r="AA31" s="135"/>
      <c r="AB31" s="126"/>
      <c r="AC31" s="136"/>
      <c r="AD31" s="136"/>
      <c r="AE31" s="137"/>
      <c r="AF31" s="137"/>
      <c r="AG31" s="127"/>
      <c r="AH31" s="138"/>
      <c r="AI31" s="138"/>
      <c r="AJ31" s="138"/>
      <c r="AK31" s="138"/>
    </row>
    <row r="32" ht="14.25" customHeight="1">
      <c r="A32" s="118" t="s">
        <v>90</v>
      </c>
      <c r="B32" s="119" t="s">
        <v>91</v>
      </c>
      <c r="C32" s="120">
        <v>307.0</v>
      </c>
      <c r="D32" s="121">
        <f t="shared" si="7"/>
        <v>307</v>
      </c>
      <c r="E32" s="122">
        <f t="shared" si="8"/>
        <v>306</v>
      </c>
      <c r="F32" s="123">
        <f t="shared" si="9"/>
        <v>0.996742671</v>
      </c>
      <c r="G32" s="123">
        <f t="shared" si="10"/>
        <v>0.00325732899</v>
      </c>
      <c r="H32" s="124">
        <f t="shared" si="11"/>
        <v>1</v>
      </c>
      <c r="I32" s="125"/>
      <c r="J32" s="125"/>
      <c r="K32" s="139"/>
      <c r="L32" s="127"/>
      <c r="M32" s="140">
        <v>1.0</v>
      </c>
      <c r="N32" s="128"/>
      <c r="O32" s="130"/>
      <c r="P32" s="130"/>
      <c r="Q32" s="131"/>
      <c r="R32" s="130"/>
      <c r="S32" s="131"/>
      <c r="T32" s="132">
        <v>0.4965277777777778</v>
      </c>
      <c r="U32" s="132">
        <v>0.7694444444444445</v>
      </c>
      <c r="V32" s="133">
        <f t="shared" si="12"/>
        <v>0.2729166667</v>
      </c>
      <c r="W32" s="132">
        <v>0.49166666666666664</v>
      </c>
      <c r="X32" s="132">
        <v>0.8888888888888888</v>
      </c>
      <c r="Y32" s="133">
        <f t="shared" si="13"/>
        <v>0.3972222222</v>
      </c>
      <c r="Z32" s="134"/>
      <c r="AA32" s="135"/>
      <c r="AB32" s="126"/>
      <c r="AC32" s="136"/>
      <c r="AD32" s="136"/>
      <c r="AE32" s="137"/>
      <c r="AF32" s="137"/>
      <c r="AG32" s="127"/>
      <c r="AH32" s="138"/>
      <c r="AI32" s="138"/>
      <c r="AJ32" s="138"/>
      <c r="AK32" s="138"/>
    </row>
    <row r="33" ht="14.25" customHeight="1">
      <c r="A33" s="118" t="s">
        <v>92</v>
      </c>
      <c r="B33" s="119" t="s">
        <v>93</v>
      </c>
      <c r="C33" s="120">
        <v>256.0</v>
      </c>
      <c r="D33" s="121">
        <f t="shared" si="7"/>
        <v>255</v>
      </c>
      <c r="E33" s="122">
        <f t="shared" si="8"/>
        <v>253</v>
      </c>
      <c r="F33" s="123">
        <f t="shared" si="9"/>
        <v>0.9921875</v>
      </c>
      <c r="G33" s="123">
        <f t="shared" si="10"/>
        <v>0.0078125</v>
      </c>
      <c r="H33" s="124">
        <f t="shared" si="11"/>
        <v>2</v>
      </c>
      <c r="I33" s="125"/>
      <c r="J33" s="125">
        <v>2.0</v>
      </c>
      <c r="K33" s="139"/>
      <c r="L33" s="127"/>
      <c r="M33" s="128"/>
      <c r="N33" s="128"/>
      <c r="O33" s="130"/>
      <c r="P33" s="130"/>
      <c r="Q33" s="131"/>
      <c r="R33" s="129">
        <v>1.0</v>
      </c>
      <c r="S33" s="131"/>
      <c r="T33" s="132">
        <v>0.4965277777777778</v>
      </c>
      <c r="U33" s="132">
        <v>0.7756944444444445</v>
      </c>
      <c r="V33" s="133">
        <f t="shared" si="12"/>
        <v>0.2791666667</v>
      </c>
      <c r="W33" s="132">
        <v>0.49166666666666664</v>
      </c>
      <c r="X33" s="132">
        <v>0.8541666666666666</v>
      </c>
      <c r="Y33" s="133">
        <f t="shared" si="13"/>
        <v>0.3625</v>
      </c>
      <c r="Z33" s="134"/>
      <c r="AA33" s="135"/>
      <c r="AB33" s="126"/>
      <c r="AC33" s="136"/>
      <c r="AD33" s="136"/>
      <c r="AE33" s="137"/>
      <c r="AF33" s="137"/>
      <c r="AG33" s="127"/>
      <c r="AH33" s="138"/>
      <c r="AI33" s="138"/>
      <c r="AJ33" s="138"/>
      <c r="AK33" s="138"/>
    </row>
    <row r="34" ht="14.25" customHeight="1">
      <c r="A34" s="118" t="s">
        <v>94</v>
      </c>
      <c r="B34" s="119" t="s">
        <v>95</v>
      </c>
      <c r="C34" s="120">
        <v>59.0</v>
      </c>
      <c r="D34" s="121">
        <f t="shared" si="7"/>
        <v>59</v>
      </c>
      <c r="E34" s="122">
        <f t="shared" si="8"/>
        <v>57</v>
      </c>
      <c r="F34" s="123">
        <f t="shared" si="9"/>
        <v>0.9661016949</v>
      </c>
      <c r="G34" s="123">
        <f t="shared" si="10"/>
        <v>0.03389830508</v>
      </c>
      <c r="H34" s="124">
        <f t="shared" si="11"/>
        <v>2</v>
      </c>
      <c r="I34" s="125">
        <v>1.0</v>
      </c>
      <c r="J34" s="125"/>
      <c r="K34" s="139"/>
      <c r="L34" s="141">
        <v>1.0</v>
      </c>
      <c r="M34" s="128"/>
      <c r="N34" s="128"/>
      <c r="O34" s="130"/>
      <c r="P34" s="130"/>
      <c r="Q34" s="131"/>
      <c r="R34" s="130"/>
      <c r="S34" s="131"/>
      <c r="T34" s="132">
        <v>0.2916666666666667</v>
      </c>
      <c r="U34" s="132">
        <v>0.38333333333333336</v>
      </c>
      <c r="V34" s="133">
        <f t="shared" si="12"/>
        <v>0.09166666667</v>
      </c>
      <c r="W34" s="132">
        <v>0.4583333333333333</v>
      </c>
      <c r="X34" s="132">
        <v>0.7708333333333334</v>
      </c>
      <c r="Y34" s="133">
        <f t="shared" si="13"/>
        <v>0.3125</v>
      </c>
      <c r="Z34" s="134"/>
      <c r="AA34" s="135"/>
      <c r="AB34" s="126"/>
      <c r="AC34" s="136"/>
      <c r="AD34" s="136"/>
      <c r="AE34" s="137"/>
      <c r="AF34" s="137"/>
      <c r="AG34" s="127"/>
      <c r="AH34" s="138"/>
      <c r="AI34" s="138"/>
      <c r="AJ34" s="138"/>
      <c r="AK34" s="138"/>
    </row>
    <row r="35" ht="24.0" customHeight="1">
      <c r="A35" s="111"/>
      <c r="B35" s="142"/>
      <c r="C35" s="143">
        <f t="shared" ref="C35:E35" si="14">SUM(C14:C34)</f>
        <v>5093</v>
      </c>
      <c r="D35" s="143">
        <f t="shared" si="14"/>
        <v>5092</v>
      </c>
      <c r="E35" s="143">
        <f t="shared" si="14"/>
        <v>5034</v>
      </c>
      <c r="F35" s="144"/>
      <c r="G35" s="144"/>
      <c r="H35" s="145"/>
      <c r="I35" s="146">
        <f t="shared" ref="I35:R35" si="15">SUM(I14:I34)</f>
        <v>32</v>
      </c>
      <c r="J35" s="146">
        <f t="shared" si="15"/>
        <v>17</v>
      </c>
      <c r="K35" s="146">
        <f t="shared" si="15"/>
        <v>0</v>
      </c>
      <c r="L35" s="146">
        <f t="shared" si="15"/>
        <v>3</v>
      </c>
      <c r="M35" s="146">
        <f t="shared" si="15"/>
        <v>1</v>
      </c>
      <c r="N35" s="146">
        <f t="shared" si="15"/>
        <v>0</v>
      </c>
      <c r="O35" s="146">
        <f t="shared" si="15"/>
        <v>5</v>
      </c>
      <c r="P35" s="146">
        <f t="shared" si="15"/>
        <v>0</v>
      </c>
      <c r="Q35" s="146">
        <f t="shared" si="15"/>
        <v>0</v>
      </c>
      <c r="R35" s="146">
        <f t="shared" si="15"/>
        <v>1</v>
      </c>
      <c r="S35" s="147"/>
      <c r="T35" s="148"/>
      <c r="U35" s="148"/>
      <c r="V35" s="148"/>
      <c r="W35" s="148"/>
      <c r="X35" s="148"/>
      <c r="Y35" s="149">
        <f>AVERAGEIF(Y14:Y34,"&lt;&gt;0")</f>
        <v>0.3925925926</v>
      </c>
      <c r="Z35" s="148"/>
      <c r="AA35" s="148"/>
      <c r="AB35" s="150"/>
      <c r="AC35" s="148"/>
      <c r="AD35" s="148"/>
      <c r="AE35" s="148"/>
      <c r="AF35" s="148"/>
      <c r="AG35" s="151"/>
      <c r="AH35" s="7"/>
      <c r="AI35" s="7"/>
      <c r="AJ35" s="7"/>
      <c r="AK35" s="7"/>
    </row>
    <row r="36" ht="5.25" customHeight="1">
      <c r="A36" s="108"/>
      <c r="B36" s="76"/>
      <c r="C36" s="76"/>
      <c r="D36" s="76"/>
      <c r="E36" s="76"/>
      <c r="F36" s="109"/>
      <c r="G36" s="109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110"/>
      <c r="AH36" s="7"/>
      <c r="AI36" s="7"/>
      <c r="AJ36" s="7"/>
      <c r="AK36" s="7"/>
    </row>
    <row r="37" ht="14.25" customHeight="1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7"/>
      <c r="AI37" s="7"/>
      <c r="AJ37" s="7"/>
      <c r="AK37" s="7"/>
    </row>
    <row r="38" ht="5.25" customHeight="1">
      <c r="A38" s="152"/>
      <c r="B38" s="153"/>
      <c r="C38" s="153"/>
      <c r="D38" s="153"/>
      <c r="E38" s="153"/>
      <c r="F38" s="154"/>
      <c r="G38" s="154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5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10"/>
      <c r="AC39" s="7"/>
      <c r="AD39" s="7"/>
      <c r="AE39" s="7"/>
      <c r="AF39" s="7"/>
      <c r="AG39" s="10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10"/>
      <c r="B42" s="10"/>
      <c r="C42" s="10"/>
      <c r="D42" s="10"/>
      <c r="E42" s="10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10"/>
      <c r="B43" s="10"/>
      <c r="C43" s="10"/>
      <c r="D43" s="10"/>
      <c r="E43" s="10"/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10"/>
      <c r="B44" s="10"/>
      <c r="C44" s="10"/>
      <c r="D44" s="10"/>
      <c r="E44" s="10"/>
      <c r="F44" s="11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6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7"/>
      <c r="B78" s="7"/>
      <c r="C78" s="7"/>
      <c r="D78" s="7"/>
      <c r="E78" s="7"/>
      <c r="F78" s="156"/>
      <c r="G78" s="15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4.25" customHeight="1">
      <c r="A79" s="7"/>
      <c r="B79" s="7"/>
      <c r="C79" s="7"/>
      <c r="D79" s="7"/>
      <c r="E79" s="7"/>
      <c r="F79" s="156"/>
      <c r="G79" s="15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4.25" customHeight="1">
      <c r="A80" s="7"/>
      <c r="B80" s="7"/>
      <c r="C80" s="7"/>
      <c r="D80" s="7"/>
      <c r="E80" s="7"/>
      <c r="F80" s="156"/>
      <c r="G80" s="15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4.25" customHeight="1">
      <c r="A81" s="7"/>
      <c r="B81" s="7"/>
      <c r="C81" s="7"/>
      <c r="D81" s="7"/>
      <c r="E81" s="7"/>
      <c r="F81" s="156"/>
      <c r="G81" s="15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  <row r="915" ht="14.25" customHeight="1">
      <c r="A915" s="157"/>
      <c r="B915" s="157"/>
      <c r="C915" s="157"/>
      <c r="D915" s="157"/>
      <c r="E915" s="157"/>
      <c r="F915" s="158"/>
      <c r="G915" s="15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7"/>
      <c r="U915" s="7"/>
      <c r="V915" s="7"/>
      <c r="W915" s="7"/>
      <c r="X915" s="7"/>
      <c r="Y915" s="7"/>
      <c r="Z915" s="7"/>
      <c r="AA915" s="7"/>
      <c r="AB915" s="157"/>
      <c r="AC915" s="7"/>
      <c r="AD915" s="7"/>
      <c r="AE915" s="7"/>
      <c r="AF915" s="7"/>
      <c r="AG915" s="157"/>
      <c r="AH915" s="7"/>
      <c r="AI915" s="7"/>
      <c r="AJ915" s="7"/>
      <c r="AK915" s="7"/>
    </row>
    <row r="916" ht="14.25" customHeight="1">
      <c r="A916" s="157"/>
      <c r="B916" s="157"/>
      <c r="C916" s="157"/>
      <c r="D916" s="157"/>
      <c r="E916" s="157"/>
      <c r="F916" s="158"/>
      <c r="G916" s="158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7"/>
      <c r="U916" s="7"/>
      <c r="V916" s="7"/>
      <c r="W916" s="7"/>
      <c r="X916" s="7"/>
      <c r="Y916" s="7"/>
      <c r="Z916" s="7"/>
      <c r="AA916" s="7"/>
      <c r="AB916" s="157"/>
      <c r="AC916" s="7"/>
      <c r="AD916" s="7"/>
      <c r="AE916" s="7"/>
      <c r="AF916" s="7"/>
      <c r="AG916" s="157"/>
      <c r="AH916" s="7"/>
      <c r="AI916" s="7"/>
      <c r="AJ916" s="7"/>
      <c r="AK916" s="7"/>
    </row>
    <row r="917" ht="14.25" customHeight="1">
      <c r="A917" s="157"/>
      <c r="B917" s="157"/>
      <c r="C917" s="157"/>
      <c r="D917" s="157"/>
      <c r="E917" s="157"/>
      <c r="F917" s="158"/>
      <c r="G917" s="158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7"/>
      <c r="U917" s="7"/>
      <c r="V917" s="7"/>
      <c r="W917" s="7"/>
      <c r="X917" s="7"/>
      <c r="Y917" s="7"/>
      <c r="Z917" s="7"/>
      <c r="AA917" s="7"/>
      <c r="AB917" s="157"/>
      <c r="AC917" s="7"/>
      <c r="AD917" s="7"/>
      <c r="AE917" s="7"/>
      <c r="AF917" s="7"/>
      <c r="AG917" s="157"/>
      <c r="AH917" s="7"/>
      <c r="AI917" s="7"/>
      <c r="AJ917" s="7"/>
      <c r="AK917" s="7"/>
    </row>
    <row r="918" ht="14.25" customHeight="1">
      <c r="A918" s="157"/>
      <c r="B918" s="157"/>
      <c r="C918" s="157"/>
      <c r="D918" s="157"/>
      <c r="E918" s="157"/>
      <c r="F918" s="158"/>
      <c r="G918" s="158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7"/>
      <c r="U918" s="7"/>
      <c r="V918" s="7"/>
      <c r="W918" s="7"/>
      <c r="X918" s="7"/>
      <c r="Y918" s="7"/>
      <c r="Z918" s="7"/>
      <c r="AA918" s="7"/>
      <c r="AB918" s="157"/>
      <c r="AC918" s="7"/>
      <c r="AD918" s="7"/>
      <c r="AE918" s="7"/>
      <c r="AF918" s="7"/>
      <c r="AG918" s="157"/>
      <c r="AH918" s="7"/>
      <c r="AI918" s="7"/>
      <c r="AJ918" s="7"/>
      <c r="AK918" s="7"/>
    </row>
    <row r="919" ht="14.25" customHeight="1">
      <c r="A919" s="157"/>
      <c r="B919" s="157"/>
      <c r="C919" s="157"/>
      <c r="D919" s="157"/>
      <c r="E919" s="157"/>
      <c r="F919" s="158"/>
      <c r="G919" s="158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7"/>
      <c r="U919" s="7"/>
      <c r="V919" s="7"/>
      <c r="W919" s="7"/>
      <c r="X919" s="7"/>
      <c r="Y919" s="7"/>
      <c r="Z919" s="7"/>
      <c r="AA919" s="7"/>
      <c r="AB919" s="157"/>
      <c r="AC919" s="7"/>
      <c r="AD919" s="7"/>
      <c r="AE919" s="7"/>
      <c r="AF919" s="7"/>
      <c r="AG919" s="157"/>
      <c r="AH919" s="7"/>
      <c r="AI919" s="7"/>
      <c r="AJ919" s="7"/>
      <c r="AK919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4">
    <cfRule type="cellIs" dxfId="0" priority="1" operator="lessThan">
      <formula>0</formula>
    </cfRule>
  </conditionalFormatting>
  <conditionalFormatting sqref="AA14:AA34">
    <cfRule type="cellIs" dxfId="0" priority="2" operator="lessThan">
      <formula>0</formula>
    </cfRule>
  </conditionalFormatting>
  <conditionalFormatting sqref="Z14:Z34">
    <cfRule type="cellIs" dxfId="0" priority="3" operator="lessThan">
      <formula>0</formula>
    </cfRule>
  </conditionalFormatting>
  <conditionalFormatting sqref="Z14:Z34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96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97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98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99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100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101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102</v>
      </c>
      <c r="P3" s="101"/>
      <c r="Q3" s="174" t="s">
        <v>18</v>
      </c>
      <c r="R3" s="175" t="s">
        <v>103</v>
      </c>
      <c r="S3" s="175" t="s">
        <v>104</v>
      </c>
      <c r="T3" s="175" t="s">
        <v>105</v>
      </c>
      <c r="U3" s="176" t="s">
        <v>106</v>
      </c>
      <c r="V3" s="177" t="s">
        <v>107</v>
      </c>
      <c r="W3" s="177" t="s">
        <v>108</v>
      </c>
      <c r="X3" s="177" t="s">
        <v>109</v>
      </c>
      <c r="Y3" s="177" t="s">
        <v>110</v>
      </c>
      <c r="Z3" s="172" t="s">
        <v>4</v>
      </c>
      <c r="AA3" s="172" t="s">
        <v>5</v>
      </c>
      <c r="AB3" s="172" t="s">
        <v>6</v>
      </c>
      <c r="AC3" s="172" t="s">
        <v>101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102</v>
      </c>
      <c r="AN3" s="101"/>
      <c r="AO3" s="174" t="s">
        <v>18</v>
      </c>
      <c r="AP3" s="178" t="s">
        <v>103</v>
      </c>
      <c r="AQ3" s="178" t="s">
        <v>104</v>
      </c>
      <c r="AR3" s="178" t="s">
        <v>105</v>
      </c>
      <c r="AS3" s="179" t="s">
        <v>106</v>
      </c>
      <c r="AT3" s="180" t="s">
        <v>107</v>
      </c>
      <c r="AU3" s="180" t="s">
        <v>108</v>
      </c>
      <c r="AV3" s="180" t="s">
        <v>109</v>
      </c>
      <c r="AW3" s="180" t="s">
        <v>110</v>
      </c>
      <c r="AX3" s="181" t="s">
        <v>111</v>
      </c>
      <c r="AY3" s="182" t="s">
        <v>112</v>
      </c>
      <c r="AZ3" s="182" t="s">
        <v>113</v>
      </c>
      <c r="BA3" s="183" t="s">
        <v>114</v>
      </c>
      <c r="BB3" s="182" t="s">
        <v>115</v>
      </c>
      <c r="BC3" s="184" t="s">
        <v>116</v>
      </c>
      <c r="BD3" s="185" t="s">
        <v>117</v>
      </c>
      <c r="BE3" s="186" t="s">
        <v>118</v>
      </c>
      <c r="BF3" s="186" t="s">
        <v>119</v>
      </c>
      <c r="BG3" s="186" t="s">
        <v>120</v>
      </c>
      <c r="BH3" s="187" t="s">
        <v>121</v>
      </c>
      <c r="BI3" s="187" t="s">
        <v>122</v>
      </c>
      <c r="BJ3" s="187" t="s">
        <v>123</v>
      </c>
      <c r="BK3" s="188" t="s">
        <v>98</v>
      </c>
      <c r="BL3" s="170"/>
      <c r="BM3" s="170"/>
      <c r="BN3" s="170"/>
      <c r="BO3" s="170"/>
    </row>
    <row r="4" ht="24.0" customHeight="1">
      <c r="A4" s="189"/>
      <c r="B4" s="190">
        <f>'DSP RTS RETURNS '!C5</f>
        <v>5093</v>
      </c>
      <c r="C4" s="191">
        <f>'DSP RTS RETURNS '!D5</f>
        <v>5092</v>
      </c>
      <c r="D4" s="191">
        <f>'DSP RTS RETURNS '!E5</f>
        <v>5034</v>
      </c>
      <c r="E4" s="192">
        <f>'DSP RTS RETURNS '!F5</f>
        <v>0.9884154722</v>
      </c>
      <c r="F4" s="192">
        <f>'DSP RTS RETURNS '!G5</f>
        <v>0.01138817985</v>
      </c>
      <c r="G4" s="191">
        <f>'DSP RTS RETURNS '!H5</f>
        <v>58</v>
      </c>
      <c r="H4" s="191">
        <f>'DSP RTS RETURNS '!I5</f>
        <v>32</v>
      </c>
      <c r="I4" s="191">
        <f>'DSP RTS RETURNS '!J5</f>
        <v>17</v>
      </c>
      <c r="J4" s="191">
        <f>'DSP RTS RETURNS '!K5</f>
        <v>0</v>
      </c>
      <c r="K4" s="191">
        <f>'DSP RTS RETURNS '!L5</f>
        <v>3</v>
      </c>
      <c r="L4" s="191">
        <f>'DSP RTS RETURNS '!M5</f>
        <v>1</v>
      </c>
      <c r="M4" s="191">
        <f>'DSP RTS RETURNS '!N5</f>
        <v>0</v>
      </c>
      <c r="N4" s="191">
        <f>'DSP RTS RETURNS '!O5</f>
        <v>5</v>
      </c>
      <c r="O4" s="191">
        <f>'DSP RTS RETURNS '!P5</f>
        <v>0</v>
      </c>
      <c r="P4" s="191"/>
      <c r="Q4" s="191">
        <f>'DSP RTS RETURNS '!R5</f>
        <v>1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0.3925925926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124</v>
      </c>
      <c r="C1" s="201"/>
      <c r="D1" s="202" t="s">
        <v>125</v>
      </c>
      <c r="J1" s="199"/>
      <c r="K1" s="203" t="s">
        <v>126</v>
      </c>
      <c r="L1" s="203"/>
      <c r="M1" s="203"/>
      <c r="N1" s="204"/>
      <c r="O1" s="204"/>
      <c r="P1" s="204"/>
      <c r="Q1" s="205" t="s">
        <v>127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128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129</v>
      </c>
      <c r="L4" s="220"/>
      <c r="M4" s="220"/>
      <c r="N4" s="221"/>
      <c r="O4" s="221"/>
      <c r="P4" s="222"/>
      <c r="Q4" s="223" t="s">
        <v>130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131</v>
      </c>
      <c r="W4" s="227"/>
      <c r="X4" s="212"/>
    </row>
    <row r="5" ht="25.5" customHeight="1">
      <c r="A5" s="207"/>
      <c r="B5" s="228" t="s">
        <v>132</v>
      </c>
      <c r="C5" s="229"/>
      <c r="D5" s="230" t="s">
        <v>133</v>
      </c>
      <c r="E5" s="231"/>
      <c r="F5" s="231"/>
      <c r="G5" s="232"/>
      <c r="H5" s="230" t="s">
        <v>134</v>
      </c>
      <c r="I5" s="233"/>
      <c r="J5" s="207"/>
      <c r="K5" s="234"/>
      <c r="L5" s="235"/>
      <c r="M5" s="236"/>
      <c r="N5" s="237" t="s">
        <v>135</v>
      </c>
      <c r="O5" s="238" t="s">
        <v>136</v>
      </c>
      <c r="P5" s="236"/>
      <c r="Q5" s="239" t="s">
        <v>137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138</v>
      </c>
      <c r="C6" s="243" t="s">
        <v>139</v>
      </c>
      <c r="D6" s="244" t="s">
        <v>140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0.5517241379</v>
      </c>
      <c r="J6" s="207"/>
      <c r="K6" s="250" t="s">
        <v>141</v>
      </c>
      <c r="L6" s="251" t="s">
        <v>142</v>
      </c>
      <c r="M6" s="252">
        <v>0.4201388888888889</v>
      </c>
      <c r="N6" s="251"/>
      <c r="O6" s="252"/>
      <c r="P6" s="253"/>
      <c r="Q6" s="254"/>
      <c r="R6" s="255" t="s">
        <v>143</v>
      </c>
      <c r="S6" s="256">
        <f>COUNTIF(U9:U46,TRUE)</f>
        <v>0</v>
      </c>
      <c r="T6" s="257"/>
      <c r="U6" s="255" t="s">
        <v>144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145</v>
      </c>
      <c r="C7" s="243" t="s">
        <v>139</v>
      </c>
      <c r="D7" s="261" t="s">
        <v>146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0.2931034483</v>
      </c>
      <c r="J7" s="207"/>
      <c r="K7" s="265" t="s">
        <v>147</v>
      </c>
      <c r="L7" s="266" t="s">
        <v>148</v>
      </c>
      <c r="M7" s="267"/>
      <c r="N7" s="267"/>
      <c r="O7" s="267"/>
      <c r="P7" s="268" t="s">
        <v>149</v>
      </c>
      <c r="Q7" s="269" t="s">
        <v>141</v>
      </c>
      <c r="R7" s="270" t="s">
        <v>150</v>
      </c>
      <c r="S7" s="271" t="s">
        <v>151</v>
      </c>
      <c r="T7" s="272" t="s">
        <v>152</v>
      </c>
      <c r="U7" s="273" t="s">
        <v>153</v>
      </c>
      <c r="V7" s="270" t="s">
        <v>154</v>
      </c>
      <c r="W7" s="274" t="s">
        <v>155</v>
      </c>
      <c r="X7" s="259"/>
    </row>
    <row r="8" ht="21.75" customHeight="1">
      <c r="A8" s="207"/>
      <c r="B8" s="242" t="s">
        <v>156</v>
      </c>
      <c r="C8" s="243" t="s">
        <v>139</v>
      </c>
      <c r="D8" s="244" t="s">
        <v>157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158</v>
      </c>
      <c r="L8" s="276"/>
      <c r="M8" s="277"/>
      <c r="N8" s="277"/>
      <c r="O8" s="278"/>
      <c r="P8" s="279" t="str">
        <f t="array" ref="P8">IFERROR(INDEX('DSP RTS RETURNS '!A$14:A$38,MATCH(L8,'DSP RTS RETURNS '!B$14:B$38,0)),"")</f>
        <v/>
      </c>
      <c r="Q8" s="280"/>
      <c r="R8" s="281" t="str">
        <f t="array" ref="R8">IFERROR(INDEX('DSP RTS RETURNS '!AA$14:AA$38,MATCH(L8,'DSP RTS RETURNS '!B$14:B$38,0)),"")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159</v>
      </c>
      <c r="C9" s="243" t="s">
        <v>139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0.05172413793</v>
      </c>
      <c r="J9" s="207"/>
      <c r="K9" s="287" t="s">
        <v>158</v>
      </c>
      <c r="L9" s="276"/>
      <c r="M9" s="277"/>
      <c r="N9" s="277"/>
      <c r="O9" s="278"/>
      <c r="P9" s="288" t="str">
        <f t="array" ref="P9">IFERROR(INDEX('DSP RTS RETURNS '!A$14:A$38,MATCH(L9,'DSP RTS RETURNS '!B$14:B$38,0)),"")</f>
        <v/>
      </c>
      <c r="Q9" s="280"/>
      <c r="R9" s="284" t="str">
        <f t="array" ref="R9">IFERROR(INDEX('DSP RTS RETURNS '!AA$14:AA$38,MATCH(L9,'DSP RTS RETURNS '!B$14:B$38,0)),"")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160</v>
      </c>
      <c r="C10" s="243" t="s">
        <v>139</v>
      </c>
      <c r="D10" s="244" t="s">
        <v>161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0.01724137931</v>
      </c>
      <c r="J10" s="207"/>
      <c r="K10" s="287" t="s">
        <v>158</v>
      </c>
      <c r="L10" s="276"/>
      <c r="M10" s="277"/>
      <c r="N10" s="277"/>
      <c r="O10" s="278"/>
      <c r="P10" s="288" t="str">
        <f t="array" ref="P10">IFERROR(INDEX('DSP RTS RETURNS '!A$14:A$38,MATCH(L10,'DSP RTS RETURNS '!B$14:B$38,0)),"")</f>
        <v/>
      </c>
      <c r="Q10" s="280"/>
      <c r="R10" s="284" t="str">
        <f t="array" ref="R10">IFERROR(INDEX('DSP RTS RETURNS '!AA$14:AA$38,MATCH(L10,'DSP RTS RETURNS '!B$14:B$38,0)),"")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162</v>
      </c>
      <c r="C11" s="243" t="s">
        <v>139</v>
      </c>
      <c r="D11" s="261" t="s">
        <v>163</v>
      </c>
      <c r="E11" s="262"/>
      <c r="F11" s="263"/>
      <c r="G11" s="293">
        <f>'DSP RTS RETURNS '!Y4</f>
        <v>0.3925925926</v>
      </c>
      <c r="H11" s="264" t="s">
        <v>15</v>
      </c>
      <c r="I11" s="249">
        <f>IFERROR(HLOOKUP($H11,EOS_DeliverySuccess,4,0),0)</f>
        <v>0</v>
      </c>
      <c r="J11" s="207"/>
      <c r="K11" s="287" t="s">
        <v>158</v>
      </c>
      <c r="L11" s="276"/>
      <c r="M11" s="277"/>
      <c r="N11" s="277"/>
      <c r="O11" s="278"/>
      <c r="P11" s="288" t="str">
        <f t="array" ref="P11">IFERROR(INDEX('DSP RTS RETURNS '!A$14:A$38,MATCH(L11,'DSP RTS RETURNS '!B$14:B$38,0)),"")</f>
        <v/>
      </c>
      <c r="Q11" s="280"/>
      <c r="R11" s="284" t="str">
        <f t="array" ref="R11">IFERROR(INDEX('DSP RTS RETURNS '!AA$14:AA$38,MATCH(L11,'DSP RTS RETURNS '!B$14:B$38,0)),"")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164</v>
      </c>
      <c r="C12" s="295"/>
      <c r="D12" s="296" t="s">
        <v>165</v>
      </c>
      <c r="E12" s="297"/>
      <c r="F12" s="298"/>
      <c r="G12" s="299"/>
      <c r="H12" s="248" t="s">
        <v>16</v>
      </c>
      <c r="I12" s="249">
        <f>IFERROR(HLOOKUP($H12,EOS_DeliverySuccess,4,0),0)</f>
        <v>0.08620689655</v>
      </c>
      <c r="J12" s="207"/>
      <c r="K12" s="287" t="s">
        <v>158</v>
      </c>
      <c r="L12" s="276"/>
      <c r="M12" s="277"/>
      <c r="N12" s="277"/>
      <c r="O12" s="278"/>
      <c r="P12" s="288" t="str">
        <f t="array" ref="P12">IFERROR(INDEX('DSP RTS RETURNS '!A$14:A$38,MATCH(L12,'DSP RTS RETURNS '!B$14:B$38,0)),"")</f>
        <v/>
      </c>
      <c r="Q12" s="280"/>
      <c r="R12" s="284" t="str">
        <f t="array" ref="R12">IFERROR(INDEX('DSP RTS RETURNS '!AA$14:AA$38,MATCH(L12,'DSP RTS RETURNS '!B$14:B$38,0)),"")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166</v>
      </c>
      <c r="C13" s="243">
        <v>0.0</v>
      </c>
      <c r="D13" s="301" t="s">
        <v>167</v>
      </c>
      <c r="E13" s="218"/>
      <c r="F13" s="302" t="s">
        <v>168</v>
      </c>
      <c r="G13" s="218"/>
      <c r="H13" s="303" t="s">
        <v>102</v>
      </c>
      <c r="I13" s="249">
        <f>IFERROR(HLOOKUP($H13,EOS_DeliverySuccess,4,0),0)</f>
        <v>0</v>
      </c>
      <c r="J13" s="207"/>
      <c r="K13" s="287" t="s">
        <v>158</v>
      </c>
      <c r="L13" s="276"/>
      <c r="M13" s="277"/>
      <c r="N13" s="277"/>
      <c r="O13" s="278"/>
      <c r="P13" s="304" t="str">
        <f t="array" ref="P13">IFERROR(INDEX('DSP RTS RETURNS '!A$14:A$38,MATCH(L13,'DSP RTS RETURNS '!B$14:B$38,0)),"")</f>
        <v/>
      </c>
      <c r="Q13" s="280"/>
      <c r="R13" s="284" t="str">
        <f t="array" ref="R13">IFERROR(INDEX('DSP RTS RETURNS '!AA$14:AA$38,MATCH(L13,'DSP RTS RETURNS '!B$14:B$38,0)),"")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169</v>
      </c>
      <c r="C14" s="308">
        <v>0.0</v>
      </c>
      <c r="D14" s="309" t="s">
        <v>170</v>
      </c>
      <c r="E14" s="310"/>
      <c r="F14" s="311" t="s">
        <v>168</v>
      </c>
      <c r="G14" s="310"/>
      <c r="H14" s="312" t="s">
        <v>171</v>
      </c>
      <c r="I14" s="313" t="str">
        <f>IFERROR(HLOOKUP($H14,EOS_DeliverySuccess,4,0),0)</f>
        <v/>
      </c>
      <c r="J14" s="207"/>
      <c r="K14" s="287" t="s">
        <v>158</v>
      </c>
      <c r="L14" s="276"/>
      <c r="M14" s="277"/>
      <c r="N14" s="277"/>
      <c r="O14" s="278"/>
      <c r="P14" s="304" t="str">
        <f t="array" ref="P14">IFERROR(INDEX('DSP RTS RETURNS '!A$14:A$38,MATCH(L14,'DSP RTS RETURNS '!B$14:B$38,0)),"")</f>
        <v/>
      </c>
      <c r="Q14" s="280"/>
      <c r="R14" s="284" t="str">
        <f t="array" ref="R14">IFERROR(INDEX('DSP RTS RETURNS '!AA$14:AA$38,MATCH(L14,'DSP RTS RETURNS '!B$14:B$38,0)),"")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172</v>
      </c>
      <c r="C15" s="315" t="b">
        <v>0</v>
      </c>
      <c r="D15" s="316" t="s">
        <v>173</v>
      </c>
      <c r="E15" s="317"/>
      <c r="F15" s="318"/>
      <c r="G15" s="315" t="b">
        <v>0</v>
      </c>
      <c r="H15" s="319" t="s">
        <v>174</v>
      </c>
      <c r="I15" s="315" t="b">
        <v>0</v>
      </c>
      <c r="J15" s="207"/>
      <c r="K15" s="287" t="s">
        <v>158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175</v>
      </c>
      <c r="C16" s="322"/>
      <c r="D16" s="322"/>
      <c r="E16" s="322"/>
      <c r="F16" s="322"/>
      <c r="G16" s="322"/>
      <c r="H16" s="322"/>
      <c r="I16" s="323"/>
      <c r="J16" s="207"/>
      <c r="K16" s="287" t="s">
        <v>158</v>
      </c>
      <c r="L16" s="276"/>
      <c r="M16" s="277"/>
      <c r="N16" s="277"/>
      <c r="O16" s="278"/>
      <c r="P16" s="304" t="str">
        <f t="array" ref="P16">IFERROR(INDEX('DSP RTS RETURNS '!A$14:A$38,MATCH(L16,'DSP RTS RETURNS '!B$14:B$38,0)),"")</f>
        <v/>
      </c>
      <c r="Q16" s="280"/>
      <c r="R16" s="284" t="str">
        <f t="array" ref="R16">IFERROR(INDEX('DSP RTS RETURNS '!AA$14:AA$38,MATCH(L16,'DSP RTS RETURNS '!B$14:B$38,0)),"")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148</v>
      </c>
      <c r="C17" s="295"/>
      <c r="D17" s="325" t="s">
        <v>149</v>
      </c>
      <c r="E17" s="325" t="s">
        <v>176</v>
      </c>
      <c r="F17" s="326" t="s">
        <v>177</v>
      </c>
      <c r="G17" s="262"/>
      <c r="H17" s="262"/>
      <c r="I17" s="327"/>
      <c r="J17" s="328"/>
      <c r="K17" s="287" t="s">
        <v>158</v>
      </c>
      <c r="L17" s="276"/>
      <c r="M17" s="277"/>
      <c r="N17" s="277"/>
      <c r="O17" s="278"/>
      <c r="P17" s="304" t="str">
        <f t="array" ref="P17">IFERROR(INDEX('DSP RTS RETURNS '!A$14:A$38,MATCH(L17,'DSP RTS RETURNS '!B$14:B$38,0)),"")</f>
        <v/>
      </c>
      <c r="Q17" s="280"/>
      <c r="R17" s="284" t="str">
        <f t="array" ref="R17">IFERROR(INDEX('DSP RTS RETURNS '!AA$14:AA$38,MATCH(L17,'DSP RTS RETURNS '!B$14:B$38,0)),"")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158</v>
      </c>
      <c r="L18" s="276"/>
      <c r="M18" s="277"/>
      <c r="N18" s="277"/>
      <c r="O18" s="278"/>
      <c r="P18" s="304" t="str">
        <f t="array" ref="P18">IFERROR(INDEX('DSP RTS RETURNS '!A$14:A$38,MATCH(L18,'DSP RTS RETURNS '!B$14:B$38,0)),"")</f>
        <v/>
      </c>
      <c r="Q18" s="280"/>
      <c r="R18" s="284" t="str">
        <f t="array" ref="R18">IFERROR(INDEX('DSP RTS RETURNS '!AA$14:AA$38,MATCH(L18,'DSP RTS RETURNS '!B$14:B$38,0)),"")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158</v>
      </c>
      <c r="L19" s="276"/>
      <c r="M19" s="277"/>
      <c r="N19" s="277"/>
      <c r="O19" s="278"/>
      <c r="P19" s="304" t="str">
        <f t="array" ref="P19">IFERROR(INDEX('DSP RTS RETURNS '!A$14:A$38,MATCH(L19,'DSP RTS RETURNS '!B$14:B$38,0)),"")</f>
        <v/>
      </c>
      <c r="Q19" s="280"/>
      <c r="R19" s="284" t="str">
        <f t="array" ref="R19">IFERROR(INDEX('DSP RTS RETURNS '!AA$14:AA$38,MATCH(L19,'DSP RTS RETURNS '!B$14:B$38,0)),"")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158</v>
      </c>
      <c r="L20" s="276"/>
      <c r="M20" s="277"/>
      <c r="N20" s="277"/>
      <c r="O20" s="278"/>
      <c r="P20" s="304" t="str">
        <f t="array" ref="P20">IFERROR(INDEX('DSP RTS RETURNS '!A$14:A$38,MATCH(L20,'DSP RTS RETURNS '!B$14:B$38,0)),"")</f>
        <v/>
      </c>
      <c r="Q20" s="280"/>
      <c r="R20" s="284" t="str">
        <f t="array" ref="R20">IFERROR(INDEX('DSP RTS RETURNS '!AA$14:AA$38,MATCH(L20,'DSP RTS RETURNS '!B$14:B$38,0)),"")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158</v>
      </c>
      <c r="L21" s="276"/>
      <c r="M21" s="277"/>
      <c r="N21" s="277"/>
      <c r="O21" s="278"/>
      <c r="P21" s="304" t="str">
        <f t="array" ref="P21">IFERROR(INDEX('DSP RTS RETURNS '!A$14:A$38,MATCH(L21,'DSP RTS RETURNS '!B$14:B$38,0)),"")</f>
        <v/>
      </c>
      <c r="Q21" s="280"/>
      <c r="R21" s="284" t="str">
        <f t="array" ref="R21">IFERROR(INDEX('DSP RTS RETURNS '!AA$14:AA$38,MATCH(L21,'DSP RTS RETURNS '!B$14:B$38,0)),"")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158</v>
      </c>
      <c r="L22" s="276"/>
      <c r="M22" s="277"/>
      <c r="N22" s="277"/>
      <c r="O22" s="278"/>
      <c r="P22" s="304" t="str">
        <f t="array" ref="P22">IFERROR(INDEX('DSP RTS RETURNS '!A$14:A$38,MATCH(L22,'DSP RTS RETURNS '!B$14:B$38,0)),"")</f>
        <v/>
      </c>
      <c r="Q22" s="280"/>
      <c r="R22" s="284" t="str">
        <f t="array" ref="R22">IFERROR(INDEX('DSP RTS RETURNS '!AA$14:AA$38,MATCH(L22,'DSP RTS RETURNS '!B$14:B$38,0)),"")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158</v>
      </c>
      <c r="L23" s="276"/>
      <c r="M23" s="277"/>
      <c r="N23" s="277"/>
      <c r="O23" s="278"/>
      <c r="P23" s="304" t="str">
        <f t="array" ref="P23">IFERROR(INDEX('DSP RTS RETURNS '!A$14:A$38,MATCH(L23,'DSP RTS RETURNS '!B$14:B$38,0)),"")</f>
        <v/>
      </c>
      <c r="Q23" s="280"/>
      <c r="R23" s="284" t="str">
        <f t="array" ref="R23">IFERROR(INDEX('DSP RTS RETURNS '!AA$14:AA$38,MATCH(L23,'DSP RTS RETURNS '!B$14:B$38,0)),"")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158</v>
      </c>
      <c r="L24" s="276"/>
      <c r="M24" s="277"/>
      <c r="N24" s="277"/>
      <c r="O24" s="278"/>
      <c r="P24" s="304" t="str">
        <f t="array" ref="P24">IFERROR(INDEX('DSP RTS RETURNS '!A$14:A$38,MATCH(L24,'DSP RTS RETURNS '!B$14:B$38,0)),"")</f>
        <v/>
      </c>
      <c r="Q24" s="280"/>
      <c r="R24" s="284" t="str">
        <f t="array" ref="R24">IFERROR(INDEX('DSP RTS RETURNS '!AA$14:AA$38,MATCH(L24,'DSP RTS RETURNS '!B$14:B$38,0)),"")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158</v>
      </c>
      <c r="L25" s="276"/>
      <c r="M25" s="277"/>
      <c r="N25" s="277"/>
      <c r="O25" s="278"/>
      <c r="P25" s="304" t="str">
        <f t="array" ref="P25">IFERROR(INDEX('DSP RTS RETURNS '!A$14:A$38,MATCH(L25,'DSP RTS RETURNS '!B$14:B$38,0)),"")</f>
        <v/>
      </c>
      <c r="Q25" s="280"/>
      <c r="R25" s="284" t="str">
        <f t="array" ref="R25">IFERROR(INDEX('DSP RTS RETURNS '!AA$14:AA$38,MATCH(L25,'DSP RTS RETURNS '!B$14:B$38,0)),"")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158</v>
      </c>
      <c r="L26" s="276"/>
      <c r="M26" s="277"/>
      <c r="N26" s="277"/>
      <c r="O26" s="278"/>
      <c r="P26" s="304" t="str">
        <f t="array" ref="P26">IFERROR(INDEX('DSP RTS RETURNS '!A$14:A$38,MATCH(L26,'DSP RTS RETURNS '!B$14:B$38,0)),"")</f>
        <v/>
      </c>
      <c r="Q26" s="280"/>
      <c r="R26" s="284" t="str">
        <f t="array" ref="R26">IFERROR(INDEX('DSP RTS RETURNS '!AA$14:AA$38,MATCH(L26,'DSP RTS RETURNS '!B$14:B$38,0)),"")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158</v>
      </c>
      <c r="L27" s="276"/>
      <c r="M27" s="277"/>
      <c r="N27" s="277"/>
      <c r="O27" s="278"/>
      <c r="P27" s="304" t="str">
        <f t="array" ref="P27">IFERROR(INDEX('DSP RTS RETURNS '!A$14:A$38,MATCH(L27,'DSP RTS RETURNS '!B$14:B$38,0)),"")</f>
        <v/>
      </c>
      <c r="Q27" s="280"/>
      <c r="R27" s="284" t="str">
        <f t="array" ref="R27">IFERROR(INDEX('DSP RTS RETURNS '!AA$14:AA$38,MATCH(L27,'DSP RTS RETURNS '!B$14:B$38,0)),"")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158</v>
      </c>
      <c r="L28" s="276"/>
      <c r="M28" s="277"/>
      <c r="N28" s="277"/>
      <c r="O28" s="278"/>
      <c r="P28" s="304" t="str">
        <f t="array" ref="P28">IFERROR(INDEX('DSP RTS RETURNS '!A$14:A$38,MATCH(L28,'DSP RTS RETURNS '!B$14:B$38,0)),"")</f>
        <v/>
      </c>
      <c r="Q28" s="280"/>
      <c r="R28" s="284" t="str">
        <f t="array" ref="R28">IFERROR(INDEX('DSP RTS RETURNS '!AA$14:AA$38,MATCH(L28,'DSP RTS RETURNS '!B$14:B$38,0)),"")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158</v>
      </c>
      <c r="L29" s="276"/>
      <c r="M29" s="277"/>
      <c r="N29" s="277"/>
      <c r="O29" s="278"/>
      <c r="P29" s="304" t="str">
        <f t="array" ref="P29">IFERROR(INDEX('DSP RTS RETURNS '!A$14:A$38,MATCH(L29,'DSP RTS RETURNS '!B$14:B$38,0)),"")</f>
        <v/>
      </c>
      <c r="Q29" s="280"/>
      <c r="R29" s="284" t="str">
        <f t="array" ref="R29">IFERROR(INDEX('DSP RTS RETURNS '!AA$14:AA$38,MATCH(L29,'DSP RTS RETURNS '!B$14:B$38,0)),"")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158</v>
      </c>
      <c r="L30" s="276"/>
      <c r="M30" s="277"/>
      <c r="N30" s="277"/>
      <c r="O30" s="278"/>
      <c r="P30" s="304" t="str">
        <f t="array" ref="P30">IFERROR(INDEX('DSP RTS RETURNS '!A$14:A$38,MATCH(L30,'DSP RTS RETURNS '!B$14:B$38,0)),"")</f>
        <v/>
      </c>
      <c r="Q30" s="280"/>
      <c r="R30" s="284" t="str">
        <f t="array" ref="R30">IFERROR(INDEX('DSP RTS RETURNS '!AA$14:AA$38,MATCH(L30,'DSP RTS RETURNS '!B$14:B$38,0)),"")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158</v>
      </c>
      <c r="L31" s="276"/>
      <c r="M31" s="277"/>
      <c r="N31" s="277"/>
      <c r="O31" s="278"/>
      <c r="P31" s="304" t="str">
        <f t="array" ref="P31">IFERROR(INDEX('DSP RTS RETURNS '!A$14:A$38,MATCH(L31,'DSP RTS RETURNS '!B$14:B$38,0)),"")</f>
        <v/>
      </c>
      <c r="Q31" s="280"/>
      <c r="R31" s="284" t="str">
        <f t="array" ref="R31">IFERROR(INDEX('DSP RTS RETURNS '!AA$14:AA$38,MATCH(L31,'DSP RTS RETURNS '!B$14:B$38,0)),"")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158</v>
      </c>
      <c r="L32" s="276"/>
      <c r="M32" s="277"/>
      <c r="N32" s="277"/>
      <c r="O32" s="278"/>
      <c r="P32" s="304" t="str">
        <f t="array" ref="P32">IFERROR(INDEX('DSP RTS RETURNS '!A$14:A$38,MATCH(L32,'DSP RTS RETURNS '!B$14:B$38,0)),"")</f>
        <v/>
      </c>
      <c r="Q32" s="280"/>
      <c r="R32" s="284" t="str">
        <f t="array" ref="R32">IFERROR(INDEX('DSP RTS RETURNS '!AA$14:AA$38,MATCH(L32,'DSP RTS RETURNS '!B$14:B$38,0)),"")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158</v>
      </c>
      <c r="L33" s="276"/>
      <c r="M33" s="277"/>
      <c r="N33" s="277"/>
      <c r="O33" s="278"/>
      <c r="P33" s="304" t="str">
        <f t="array" ref="P33">IFERROR(INDEX('DSP RTS RETURNS '!A$14:A$38,MATCH(L33,'DSP RTS RETURNS '!B$14:B$38,0)),"")</f>
        <v/>
      </c>
      <c r="Q33" s="280"/>
      <c r="R33" s="284" t="str">
        <f t="array" ref="R33">IFERROR(INDEX('DSP RTS RETURNS '!AA$14:AA$38,MATCH(L33,'DSP RTS RETURNS '!B$14:B$38,0)),"")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158</v>
      </c>
      <c r="L34" s="276"/>
      <c r="M34" s="277"/>
      <c r="N34" s="277"/>
      <c r="O34" s="278"/>
      <c r="P34" s="304" t="str">
        <f t="array" ref="P34">IFERROR(INDEX('DSP RTS RETURNS '!A$14:A$38,MATCH(L34,'DSP RTS RETURNS '!B$14:B$38,0)),"")</f>
        <v/>
      </c>
      <c r="Q34" s="280"/>
      <c r="R34" s="284" t="str">
        <f t="array" ref="R34">IFERROR(INDEX('DSP RTS RETURNS '!AA$14:AA$38,MATCH(L34,'DSP RTS RETURNS '!B$14:B$38,0)),"")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158</v>
      </c>
      <c r="L35" s="276"/>
      <c r="M35" s="277"/>
      <c r="N35" s="277"/>
      <c r="O35" s="278"/>
      <c r="P35" s="304" t="str">
        <f t="array" ref="P35">IFERROR(INDEX('DSP RTS RETURNS '!A$14:A$38,MATCH(L35,'DSP RTS RETURNS '!B$14:B$38,0)),"")</f>
        <v/>
      </c>
      <c r="Q35" s="280"/>
      <c r="R35" s="284" t="str">
        <f t="array" ref="R35">IFERROR(INDEX('DSP RTS RETURNS '!AA$14:AA$38,MATCH(L35,'DSP RTS RETURNS '!B$14:B$38,0)),"")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178</v>
      </c>
      <c r="L36" s="276"/>
      <c r="M36" s="277"/>
      <c r="N36" s="277"/>
      <c r="O36" s="278"/>
      <c r="P36" s="304" t="str">
        <f t="array" ref="P36">IFERROR(INDEX('DSP RTS RETURNS '!A$14:A$38,MATCH(L36,'DSP RTS RETURNS '!B$14:B$38,0)),"")</f>
        <v/>
      </c>
      <c r="Q36" s="280"/>
      <c r="R36" s="284" t="str">
        <f t="array" ref="R36">IFERROR(INDEX('DSP RTS RETURNS '!AA$14:AA$38,MATCH(L36,'DSP RTS RETURNS '!B$14:B$38,0)),"")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178</v>
      </c>
      <c r="L37" s="276"/>
      <c r="M37" s="277"/>
      <c r="N37" s="277"/>
      <c r="O37" s="278"/>
      <c r="P37" s="304" t="str">
        <f t="array" ref="P37">IFERROR(INDEX('DSP RTS RETURNS '!A$14:A$38,MATCH(L37,'DSP RTS RETURNS '!B$14:B$38,0)),"")</f>
        <v/>
      </c>
      <c r="Q37" s="280"/>
      <c r="R37" s="284" t="str">
        <f t="array" ref="R37">IFERROR(INDEX('DSP RTS RETURNS '!AA$14:AA$38,MATCH(L37,'DSP RTS RETURNS '!B$14:B$38,0)),"")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178</v>
      </c>
      <c r="L38" s="276"/>
      <c r="M38" s="277"/>
      <c r="N38" s="277"/>
      <c r="O38" s="278"/>
      <c r="P38" s="304" t="str">
        <f t="array" ref="P38">IFERROR(INDEX('DSP RTS RETURNS '!A$14:A$38,MATCH(L38,'DSP RTS RETURNS '!B$14:B$38,0)),"")</f>
        <v/>
      </c>
      <c r="Q38" s="280"/>
      <c r="R38" s="284" t="str">
        <f t="array" ref="R38">IFERROR(INDEX('DSP RTS RETURNS '!AA$14:AA$38,MATCH(L38,'DSP RTS RETURNS '!B$14:B$38,0)),"")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178</v>
      </c>
      <c r="L39" s="276"/>
      <c r="M39" s="277"/>
      <c r="N39" s="277"/>
      <c r="O39" s="278"/>
      <c r="P39" s="304" t="str">
        <f t="array" ref="P39">IFERROR(INDEX('DSP RTS RETURNS '!A$14:A$38,MATCH(L39,'DSP RTS RETURNS '!B$14:B$38,0)),"")</f>
        <v/>
      </c>
      <c r="Q39" s="280"/>
      <c r="R39" s="284" t="str">
        <f t="array" ref="R39">IFERROR(INDEX('DSP RTS RETURNS '!AA$14:AA$38,MATCH(L39,'DSP RTS RETURNS '!B$14:B$38,0)),"")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178</v>
      </c>
      <c r="L40" s="276"/>
      <c r="M40" s="277"/>
      <c r="N40" s="277"/>
      <c r="O40" s="278"/>
      <c r="P40" s="304" t="str">
        <f t="array" ref="P40">IFERROR(INDEX('DSP RTS RETURNS '!A$14:A$38,MATCH(L40,'DSP RTS RETURNS '!B$14:B$38,0)),"")</f>
        <v/>
      </c>
      <c r="Q40" s="280"/>
      <c r="R40" s="284" t="str">
        <f t="array" ref="R40">IFERROR(INDEX('DSP RTS RETURNS '!AA$14:AA$38,MATCH(L40,'DSP RTS RETURNS '!B$14:B$38,0)),"")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178</v>
      </c>
      <c r="L41" s="276"/>
      <c r="M41" s="277"/>
      <c r="N41" s="277"/>
      <c r="O41" s="278"/>
      <c r="P41" s="304" t="str">
        <f t="array" ref="P41">IFERROR(INDEX('DSP RTS RETURNS '!A$14:A$38,MATCH(L41,'DSP RTS RETURNS '!B$14:B$38,0)),"")</f>
        <v/>
      </c>
      <c r="Q41" s="280"/>
      <c r="R41" s="284" t="str">
        <f t="array" ref="R41">IFERROR(INDEX('DSP RTS RETURNS '!AA$14:AA$38,MATCH(L41,'DSP RTS RETURNS '!B$14:B$38,0)),"")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178</v>
      </c>
      <c r="L42" s="276"/>
      <c r="M42" s="277"/>
      <c r="N42" s="277"/>
      <c r="O42" s="278"/>
      <c r="P42" s="304" t="str">
        <f t="array" ref="P42">IFERROR(INDEX('DSP RTS RETURNS '!A$14:A$38,MATCH(L42,'DSP RTS RETURNS '!B$14:B$38,0)),"")</f>
        <v/>
      </c>
      <c r="Q42" s="280"/>
      <c r="R42" s="284" t="str">
        <f t="array" ref="R42">IFERROR(INDEX('DSP RTS RETURNS '!AA$14:AA$38,MATCH(L42,'DSP RTS RETURNS '!B$14:B$38,0)),"")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178</v>
      </c>
      <c r="L43" s="276"/>
      <c r="M43" s="277"/>
      <c r="N43" s="277"/>
      <c r="O43" s="278"/>
      <c r="P43" s="304" t="str">
        <f t="array" ref="P43">IFERROR(INDEX('DSP RTS RETURNS '!A$14:A$38,MATCH(L43,'DSP RTS RETURNS '!B$14:B$38,0)),"")</f>
        <v/>
      </c>
      <c r="Q43" s="280"/>
      <c r="R43" s="284" t="str">
        <f t="array" ref="R43">IFERROR(INDEX('DSP RTS RETURNS '!AA$14:AA$38,MATCH(L43,'DSP RTS RETURNS '!B$14:B$38,0)),"")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178</v>
      </c>
      <c r="L44" s="276"/>
      <c r="M44" s="277"/>
      <c r="N44" s="277"/>
      <c r="O44" s="278"/>
      <c r="P44" s="304" t="str">
        <f t="array" ref="P44">IFERROR(INDEX('DSP RTS RETURNS '!A$14:A$38,MATCH(L44,'DSP RTS RETURNS '!B$14:B$38,0)),"")</f>
        <v/>
      </c>
      <c r="Q44" s="280"/>
      <c r="R44" s="284" t="str">
        <f t="array" ref="R44">IFERROR(INDEX('DSP RTS RETURNS '!AA$14:AA$38,MATCH(L44,'DSP RTS RETURNS '!B$14:B$38,0)),"")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178</v>
      </c>
      <c r="L45" s="276"/>
      <c r="M45" s="277"/>
      <c r="N45" s="277"/>
      <c r="O45" s="278"/>
      <c r="P45" s="304" t="str">
        <f t="array" ref="P45">IFERROR(INDEX('DSP RTS RETURNS '!A$14:A$38,MATCH(L45,'DSP RTS RETURNS '!B$14:B$38,0)),"")</f>
        <v/>
      </c>
      <c r="Q45" s="280"/>
      <c r="R45" s="284" t="str">
        <f t="array" ref="R45">IFERROR(INDEX('DSP RTS RETURNS '!AA$14:AA$38,MATCH(L45,'DSP RTS RETURNS '!B$14:B$38,0)),"")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'!A$14:A$38,MATCH(L46,'DSP RTS RETURNS '!B$14:B$38,0)),"")</f>
        <v/>
      </c>
      <c r="Q46" s="280"/>
      <c r="R46" s="284" t="str">
        <f t="array" ref="R46">IFERROR(INDEX('DSP RTS RETURNS '!AA$14:AA$38,MATCH(L46,'DSP RTS RETURNS '!B$14:B$38,0)),"")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'!A$14:A$38,MATCH(L47,'DSP RTS RETURNS '!B$14:B$38,0)),"")</f>
        <v/>
      </c>
      <c r="Q47" s="280"/>
      <c r="R47" s="284" t="str">
        <f t="array" ref="R47">IFERROR(INDEX('DSP RTS RETURNS '!AA$14:AA$38,MATCH(L47,'DSP RTS RETURNS '!B$14:B$38,0)),"")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'!A$14:A$38,MATCH(L48,'DSP RTS RETURNS '!B$14:B$38,0)),"")</f>
        <v/>
      </c>
      <c r="Q48" s="280"/>
      <c r="R48" s="284" t="str">
        <f t="array" ref="R48">IFERROR(INDEX('DSP RTS RETURNS '!AA$14:AA$38,MATCH(L48,'DSP RTS RETURNS '!B$14:B$38,0)),"")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'!A$14:A$38,MATCH(L49,'DSP RTS RETURNS '!B$14:B$38,0)),"")</f>
        <v/>
      </c>
      <c r="Q49" s="280"/>
      <c r="R49" s="284" t="str">
        <f t="array" ref="R49">IFERROR(INDEX('DSP RTS RETURNS '!AA$14:AA$38,MATCH(L49,'DSP RTS RETURNS '!B$14:B$38,0)),"")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'!A$14:A$38,MATCH(L50,'DSP RTS RETURNS '!B$14:B$38,0)),"")</f>
        <v/>
      </c>
      <c r="Q50" s="280"/>
      <c r="R50" s="284" t="str">
        <f t="array" ref="R50">IFERROR(INDEX('DSP RTS RETURNS '!AA$14:AA$38,MATCH(L50,'DSP RTS RETURNS '!B$14:B$38,0)),"")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'!A$14:A$38,MATCH(L51,'DSP RTS RETURNS '!B$14:B$38,0)),"")</f>
        <v/>
      </c>
      <c r="Q51" s="280"/>
      <c r="R51" s="284" t="str">
        <f t="array" ref="R51">IFERROR(INDEX('DSP RTS RETURNS '!AA$14:AA$38,MATCH(L51,'DSP RTS RETURNS '!B$14:B$38,0)),"")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'!A$14:A$38,MATCH(L52,'DSP RTS RETURNS '!B$14:B$38,0)),"")</f>
        <v/>
      </c>
      <c r="Q52" s="280"/>
      <c r="R52" s="284" t="str">
        <f t="array" ref="R52">IFERROR(INDEX('DSP RTS RETURNS '!AA$14:AA$38,MATCH(L52,'DSP RTS RETURNS '!B$14:B$38,0)),"")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'!A$14:A$38,MATCH(L53,'DSP RTS RETURNS '!B$14:B$38,0)),"")</f>
        <v/>
      </c>
      <c r="Q53" s="280"/>
      <c r="R53" s="284" t="str">
        <f t="array" ref="R53">IFERROR(INDEX('DSP RTS RETURNS '!AA$14:AA$38,MATCH(L53,'DSP RTS RETURNS '!B$14:B$38,0)),"")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'!A$14:A$38,MATCH(L54,'DSP RTS RETURNS '!B$14:B$38,0)),"")</f>
        <v/>
      </c>
      <c r="Q54" s="280"/>
      <c r="R54" s="284" t="str">
        <f t="array" ref="R54">IFERROR(INDEX('DSP RTS RETURNS '!AA$14:AA$38,MATCH(L54,'DSP RTS RETURNS '!B$14:B$38,0)),"")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'!A$14:A$38,MATCH(L55,'DSP RTS RETURNS '!B$14:B$38,0)),"")</f>
        <v/>
      </c>
      <c r="Q55" s="280"/>
      <c r="R55" s="284" t="str">
        <f t="array" ref="R55">IFERROR(INDEX('DSP RTS RETURNS '!AA$14:AA$38,MATCH(L55,'DSP RTS RETURNS '!B$14:B$38,0)),"")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'!A$14:A$38,MATCH(L56,'DSP RTS RETURNS '!B$14:B$38,0)),"")</f>
        <v/>
      </c>
      <c r="Q56" s="280"/>
      <c r="R56" s="284" t="str">
        <f t="array" ref="R56">IFERROR(INDEX('DSP RTS RETURNS '!AA$14:AA$38,MATCH(L56,'DSP RTS RETURNS '!B$14:B$38,0)),"")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'!A$14:A$38,MATCH(L57,'DSP RTS RETURNS '!B$14:B$38,0)),"")</f>
        <v/>
      </c>
      <c r="Q57" s="280"/>
      <c r="R57" s="284" t="str">
        <f t="array" ref="R57">IFERROR(INDEX('DSP RTS RETURNS '!AA$14:AA$38,MATCH(L57,'DSP RTS RETURNS '!B$14:B$38,0)),"")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17DD1870-A52B-4050-B148-0EDC233F2E4B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179</v>
      </c>
      <c r="S1" s="359" t="s">
        <v>180</v>
      </c>
      <c r="T1" s="359" t="s">
        <v>181</v>
      </c>
      <c r="U1" s="359" t="s">
        <v>182</v>
      </c>
    </row>
    <row r="2">
      <c r="D2" s="360"/>
      <c r="E2" s="360"/>
      <c r="F2" s="360" t="s">
        <v>183</v>
      </c>
      <c r="I2" s="360"/>
      <c r="J2" s="360"/>
      <c r="K2" s="360" t="s">
        <v>184</v>
      </c>
      <c r="N2" s="360"/>
      <c r="O2" s="360"/>
      <c r="P2" s="360" t="s">
        <v>185</v>
      </c>
    </row>
    <row r="3">
      <c r="A3" s="361" t="s">
        <v>186</v>
      </c>
      <c r="B3" s="361" t="s">
        <v>149</v>
      </c>
      <c r="C3" s="361" t="s">
        <v>187</v>
      </c>
      <c r="D3" s="362" t="s">
        <v>188</v>
      </c>
      <c r="E3" s="362" t="s">
        <v>189</v>
      </c>
      <c r="F3" s="362" t="s">
        <v>190</v>
      </c>
      <c r="G3" s="362" t="s">
        <v>191</v>
      </c>
      <c r="H3" s="362" t="s">
        <v>192</v>
      </c>
      <c r="I3" s="362" t="s">
        <v>188</v>
      </c>
      <c r="J3" s="362" t="s">
        <v>189</v>
      </c>
      <c r="K3" s="362" t="s">
        <v>190</v>
      </c>
      <c r="L3" s="362" t="s">
        <v>191</v>
      </c>
      <c r="M3" s="362" t="s">
        <v>192</v>
      </c>
      <c r="N3" s="362" t="s">
        <v>188</v>
      </c>
      <c r="O3" s="362" t="s">
        <v>189</v>
      </c>
      <c r="P3" s="362" t="s">
        <v>190</v>
      </c>
      <c r="Q3" s="362" t="s">
        <v>191</v>
      </c>
      <c r="R3" s="362" t="s">
        <v>192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193</v>
      </c>
      <c r="B1" s="384"/>
      <c r="C1" s="384"/>
      <c r="D1" s="384"/>
      <c r="E1" s="384"/>
      <c r="F1" s="384"/>
      <c r="G1" s="385"/>
    </row>
    <row r="2">
      <c r="A2" s="383" t="s">
        <v>194</v>
      </c>
      <c r="B2" s="384"/>
      <c r="C2" s="384"/>
      <c r="D2" s="384"/>
      <c r="E2" s="384"/>
      <c r="F2" s="384"/>
      <c r="G2" s="385"/>
    </row>
    <row r="3">
      <c r="A3" s="386" t="s">
        <v>195</v>
      </c>
      <c r="B3" s="387" t="s">
        <v>196</v>
      </c>
      <c r="C3" s="387" t="s">
        <v>149</v>
      </c>
      <c r="D3" s="388">
        <v>0.4375</v>
      </c>
      <c r="E3" s="388">
        <v>0.5208333333333334</v>
      </c>
      <c r="F3" s="389">
        <v>0.6041666666666666</v>
      </c>
      <c r="G3" s="387" t="s">
        <v>182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197</v>
      </c>
      <c r="B31" s="384"/>
      <c r="C31" s="384"/>
      <c r="D31" s="384"/>
      <c r="E31" s="384"/>
      <c r="F31" s="384"/>
      <c r="G31" s="385"/>
    </row>
    <row r="32">
      <c r="A32" s="396" t="s">
        <v>195</v>
      </c>
      <c r="B32" s="397" t="s">
        <v>196</v>
      </c>
      <c r="C32" s="397" t="s">
        <v>149</v>
      </c>
      <c r="D32" s="398">
        <v>0.5625</v>
      </c>
      <c r="E32" s="398">
        <v>0.6458333333333334</v>
      </c>
      <c r="F32" s="398">
        <v>0.7291666666666666</v>
      </c>
      <c r="G32" s="397" t="s">
        <v>182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